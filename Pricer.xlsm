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b201100\source\repos\HestonPricer\"/>
    </mc:Choice>
  </mc:AlternateContent>
  <xr:revisionPtr revIDLastSave="0" documentId="13_ncr:20001_{CE53EC04-B4F3-4821-9B68-11EA3DDE563C}" xr6:coauthVersionLast="47" xr6:coauthVersionMax="47" xr10:uidLastSave="{00000000-0000-0000-0000-000000000000}"/>
  <bookViews>
    <workbookView xWindow="-103" yWindow="-103" windowWidth="26537" windowHeight="16063" activeTab="1" xr2:uid="{0687A19E-9EAC-4F4A-B5A4-80A1476C9C74}"/>
  </bookViews>
  <sheets>
    <sheet name="Pricer" sheetId="1" r:id="rId1"/>
    <sheet name="Price Analysis" sheetId="2" r:id="rId2"/>
    <sheet name="Sensi Analysis " sheetId="4" r:id="rId3"/>
  </sheets>
  <definedNames>
    <definedName name="Kappa">Pricer!$K$4</definedName>
    <definedName name="Maturity">Pricer!$G$4</definedName>
    <definedName name="ParametersRange">'Price Analysis'!$B$4:$C$12</definedName>
    <definedName name="Rho">Pricer!$O$4</definedName>
    <definedName name="RiskFree">Pricer!$D$4</definedName>
    <definedName name="RiskFreeRate">Pricer!$D$4</definedName>
    <definedName name="rng_result">Pricer!$B$8</definedName>
    <definedName name="Sigma">Pricer!$N$4</definedName>
    <definedName name="SpotPrice">Pricer!$E$4</definedName>
    <definedName name="Strike">Pricer!$F$4</definedName>
    <definedName name="Theta">Pricer!$L$4</definedName>
    <definedName name="V0">Pricer!$M$4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1" l="1" a="1"/>
  <c r="B6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<sst xmlns="http://schemas.openxmlformats.org/spreadsheetml/2006/main" count="25" uniqueCount="24">
  <si>
    <t>Option parameters</t>
  </si>
  <si>
    <t>Risk free</t>
  </si>
  <si>
    <t>Spot price</t>
  </si>
  <si>
    <t>Strike</t>
  </si>
  <si>
    <t>Maturity (y)</t>
  </si>
  <si>
    <t>Heston Parameters</t>
  </si>
  <si>
    <t>𝜿 (Taux de retour à la moyenne)</t>
  </si>
  <si>
    <t>𝛉 (Variance long terme)</t>
  </si>
  <si>
    <t>𝞂 (Vol de la vol.)</t>
  </si>
  <si>
    <r>
      <t>⍴ (</t>
    </r>
    <r>
      <rPr>
        <sz val="12"/>
        <color theme="1"/>
        <rFont val="Calibri"/>
        <family val="2"/>
        <scheme val="minor"/>
      </rPr>
      <t>Corrélation)</t>
    </r>
  </si>
  <si>
    <t xml:space="preserve">Evolution du prix en fonction des paramètres du modèle d'Heston </t>
  </si>
  <si>
    <t xml:space="preserve">Evolution du prix en fonction des paramètres de BS </t>
  </si>
  <si>
    <t xml:space="preserve">Evolution des sensis en fonction des paramètres de BS </t>
  </si>
  <si>
    <t>Evolution des sensis en fonction des paramètres du modèle d'Heston</t>
  </si>
  <si>
    <r>
      <rPr>
        <b/>
        <sz val="12"/>
        <color theme="1"/>
        <rFont val="Calibri"/>
        <family val="2"/>
        <scheme val="minor"/>
      </rPr>
      <t>v0</t>
    </r>
    <r>
      <rPr>
        <sz val="12"/>
        <color theme="1"/>
        <rFont val="Calibri"/>
        <family val="2"/>
        <scheme val="minor"/>
      </rPr>
      <t xml:space="preserve"> (Volatilité intiale)</t>
    </r>
  </si>
  <si>
    <t>Ranges params</t>
  </si>
  <si>
    <t>Spot Price</t>
  </si>
  <si>
    <t>Maturity</t>
  </si>
  <si>
    <t>Kappa</t>
  </si>
  <si>
    <t>Theta</t>
  </si>
  <si>
    <t>v0</t>
  </si>
  <si>
    <t>Sigma</t>
  </si>
  <si>
    <t>Rho</t>
  </si>
  <si>
    <t>RiskFreeRate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</si>
</sst>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4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5">
    <xf numFmtId="0" fontId="0" fillId="0" borderId="0" xfId="0"/>
    <xf numFmtId="0" fontId="2" fillId="2" borderId="1" xfId="0" applyFont="1" applyFill="1" applyBorder="1"/>
    <xf numFmtId="0" fontId="0" fillId="2" borderId="2" xfId="0" applyFill="1" applyBorder="1"/>
    <xf numFmtId="0" fontId="0" fillId="2" borderId="3" xfId="0" applyFill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2" fillId="3" borderId="1" xfId="0" applyFont="1" applyFill="1" applyBorder="1"/>
    <xf numFmtId="0" fontId="0" fillId="3" borderId="2" xfId="0" applyFill="1" applyBorder="1"/>
    <xf numFmtId="0" fontId="2" fillId="3" borderId="3" xfId="0" applyFont="1" applyFill="1" applyBorder="1"/>
    <xf numFmtId="9" fontId="0" fillId="0" borderId="5" xfId="0" applyNumberFormat="1" applyBorder="1"/>
    <xf numFmtId="10" fontId="0" fillId="0" borderId="5" xfId="1" applyNumberFormat="1" applyFont="1" applyBorder="1"/>
    <xf numFmtId="164" fontId="0" fillId="0" borderId="5" xfId="1" applyNumberFormat="1" applyFont="1" applyBorder="1"/>
    <xf numFmtId="10" fontId="0" fillId="0" borderId="6" xfId="1" applyNumberFormat="1" applyFont="1" applyBorder="1"/>
    <xf numFmtId="9" fontId="0" fillId="0" borderId="0" xfId="0" applyNumberForma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Impact de SpotPrice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BS - SpotPrice</c:v>
          </c:tx>
          <c:marker>
            <c:symbol val="none"/>
          </c:marker>
          <c:cat>
            <c:numLit>
              <c:formatCode>General</c:formatCode>
              <c:ptCount val="11"/>
              <c:pt idx="0">
                <c:v>30</c:v>
              </c:pt>
              <c:pt idx="1">
                <c:v>36</c:v>
              </c:pt>
              <c:pt idx="2">
                <c:v>42</c:v>
              </c:pt>
              <c:pt idx="3">
                <c:v>48</c:v>
              </c:pt>
              <c:pt idx="4">
                <c:v>54</c:v>
              </c:pt>
              <c:pt idx="5">
                <c:v>60</c:v>
              </c:pt>
              <c:pt idx="6">
                <c:v>66</c:v>
              </c:pt>
              <c:pt idx="7">
                <c:v>72</c:v>
              </c:pt>
              <c:pt idx="8">
                <c:v>78</c:v>
              </c:pt>
              <c:pt idx="9">
                <c:v>84</c:v>
              </c:pt>
              <c:pt idx="10">
                <c:v>90</c:v>
              </c:pt>
            </c:numLit>
          </c:cat>
          <c:val>
            <c:numLit>
              <c:formatCode>General</c:formatCode>
              <c:ptCount val="11"/>
              <c:pt idx="0">
                <c:v>1.6718488691999179E-4</c:v>
              </c:pt>
              <c:pt idx="1">
                <c:v>2.1859698258162065E-3</c:v>
              </c:pt>
              <c:pt idx="2">
                <c:v>1.4841899586974461E-2</c:v>
              </c:pt>
              <c:pt idx="3">
                <c:v>6.4750601639479544E-2</c:v>
              </c:pt>
              <c:pt idx="4">
                <c:v>0.20660564621927291</c:v>
              </c:pt>
              <c:pt idx="5">
                <c:v>0.5242487562945386</c:v>
              </c:pt>
              <c:pt idx="6">
                <c:v>1.1195900743091292</c:v>
              </c:pt>
              <c:pt idx="7">
                <c:v>2.0942188476853669</c:v>
              </c:pt>
              <c:pt idx="8">
                <c:v>3.5315671430198101</c:v>
              </c:pt>
              <c:pt idx="9">
                <c:v>5.4853515858917348</c:v>
              </c:pt>
              <c:pt idx="10">
                <c:v>7.9760496921564226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88-4DD2-9E1A-29381969ED3E}"/>
            </c:ext>
          </c:extLst>
        </c:ser>
        <c:ser>
          <c:idx val="1"/>
          <c:order val="1"/>
          <c:tx>
            <c:v>Heston - SpotPrice</c:v>
          </c:tx>
          <c:marker>
            <c:symbol val="none"/>
          </c:marker>
          <c:cat>
            <c:numLit>
              <c:formatCode>General</c:formatCode>
              <c:ptCount val="11"/>
              <c:pt idx="0">
                <c:v>60</c:v>
              </c:pt>
              <c:pt idx="1">
                <c:v>66</c:v>
              </c:pt>
              <c:pt idx="2">
                <c:v>72</c:v>
              </c:pt>
              <c:pt idx="3">
                <c:v>78</c:v>
              </c:pt>
              <c:pt idx="4">
                <c:v>84</c:v>
              </c:pt>
              <c:pt idx="5">
                <c:v>90</c:v>
              </c:pt>
              <c:pt idx="6">
                <c:v>96</c:v>
              </c:pt>
              <c:pt idx="7">
                <c:v>102</c:v>
              </c:pt>
              <c:pt idx="8">
                <c:v>108</c:v>
              </c:pt>
              <c:pt idx="9">
                <c:v>114</c:v>
              </c:pt>
              <c:pt idx="10">
                <c:v>120</c:v>
              </c:pt>
            </c:numLit>
          </c:cat>
          <c:val>
            <c:numLit>
              <c:formatCode>General</c:formatCode>
              <c:ptCount val="11"/>
              <c:pt idx="0">
                <c:v>9.1608449397030028E-2</c:v>
              </c:pt>
              <c:pt idx="1">
                <c:v>0.32677243699802361</c:v>
              </c:pt>
              <c:pt idx="2">
                <c:v>0.87885550432920767</c:v>
              </c:pt>
              <c:pt idx="3">
                <c:v>1.9424691225794573</c:v>
              </c:pt>
              <c:pt idx="4">
                <c:v>3.6866150604512939</c:v>
              </c:pt>
              <c:pt idx="5">
                <c:v>6.1643146447494459</c:v>
              </c:pt>
              <c:pt idx="6">
                <c:v>9.3321327171007233</c:v>
              </c:pt>
              <c:pt idx="7">
                <c:v>13.094793093992966</c:v>
              </c:pt>
              <c:pt idx="8">
                <c:v>17.332844854131146</c:v>
              </c:pt>
              <c:pt idx="9">
                <c:v>21.975197279945665</c:v>
              </c:pt>
              <c:pt idx="10">
                <c:v>26.935799616688605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88-4DD2-9E1A-29381969ED3E}"/>
            </c:ext>
          </c:extLst>
        </c:ser>
        <c:ser>
          <c:idx val="2"/>
          <c:order val="2"/>
          <c:tx>
            <c:v>Heston Upper - SpotPrice</c:v>
          </c:tx>
          <c:spPr>
            <a:ln w="12700">
              <a:solidFill>
                <a:srgbClr val="D3D3D3"/>
              </a:solidFill>
              <a:prstDash val="lgDash"/>
            </a:ln>
          </c:spPr>
          <c:marker>
            <c:symbol val="none"/>
          </c:marker>
          <c:cat>
            <c:numLit>
              <c:formatCode>General</c:formatCode>
              <c:ptCount val="11"/>
              <c:pt idx="0">
                <c:v>60</c:v>
              </c:pt>
              <c:pt idx="1">
                <c:v>66</c:v>
              </c:pt>
              <c:pt idx="2">
                <c:v>72</c:v>
              </c:pt>
              <c:pt idx="3">
                <c:v>78</c:v>
              </c:pt>
              <c:pt idx="4">
                <c:v>84</c:v>
              </c:pt>
              <c:pt idx="5">
                <c:v>90</c:v>
              </c:pt>
              <c:pt idx="6">
                <c:v>96</c:v>
              </c:pt>
              <c:pt idx="7">
                <c:v>102</c:v>
              </c:pt>
              <c:pt idx="8">
                <c:v>108</c:v>
              </c:pt>
              <c:pt idx="9">
                <c:v>114</c:v>
              </c:pt>
              <c:pt idx="10">
                <c:v>120</c:v>
              </c:pt>
            </c:numLit>
          </c:cat>
          <c:val>
            <c:numLit>
              <c:formatCode>General</c:formatCode>
              <c:ptCount val="11"/>
              <c:pt idx="0">
                <c:v>0.10478421552037567</c:v>
              </c:pt>
              <c:pt idx="1">
                <c:v>0.35179447934867847</c:v>
              </c:pt>
              <c:pt idx="2">
                <c:v>0.93445570919292098</c:v>
              </c:pt>
              <c:pt idx="3">
                <c:v>2.0380578061116164</c:v>
              </c:pt>
              <c:pt idx="4">
                <c:v>3.8154124009122725</c:v>
              </c:pt>
              <c:pt idx="5">
                <c:v>6.3237204205472954</c:v>
              </c:pt>
              <c:pt idx="6">
                <c:v>9.5088455999920374</c:v>
              </c:pt>
              <c:pt idx="7">
                <c:v>13.277698806886704</c:v>
              </c:pt>
              <c:pt idx="8">
                <c:v>17.518746105356644</c:v>
              </c:pt>
              <c:pt idx="9">
                <c:v>22.157299000275856</c:v>
              </c:pt>
              <c:pt idx="10">
                <c:v>27.117753666575766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88-4DD2-9E1A-29381969ED3E}"/>
            </c:ext>
          </c:extLst>
        </c:ser>
        <c:ser>
          <c:idx val="3"/>
          <c:order val="3"/>
          <c:tx>
            <c:v>Heston Lower - SpotPrice</c:v>
          </c:tx>
          <c:spPr>
            <a:ln w="12700">
              <a:solidFill>
                <a:srgbClr val="D3D3D3"/>
              </a:solidFill>
              <a:prstDash val="lgDash"/>
            </a:ln>
          </c:spPr>
          <c:marker>
            <c:symbol val="none"/>
          </c:marker>
          <c:cat>
            <c:numLit>
              <c:formatCode>General</c:formatCode>
              <c:ptCount val="11"/>
              <c:pt idx="0">
                <c:v>60</c:v>
              </c:pt>
              <c:pt idx="1">
                <c:v>66</c:v>
              </c:pt>
              <c:pt idx="2">
                <c:v>72</c:v>
              </c:pt>
              <c:pt idx="3">
                <c:v>78</c:v>
              </c:pt>
              <c:pt idx="4">
                <c:v>84</c:v>
              </c:pt>
              <c:pt idx="5">
                <c:v>90</c:v>
              </c:pt>
              <c:pt idx="6">
                <c:v>96</c:v>
              </c:pt>
              <c:pt idx="7">
                <c:v>102</c:v>
              </c:pt>
              <c:pt idx="8">
                <c:v>108</c:v>
              </c:pt>
              <c:pt idx="9">
                <c:v>114</c:v>
              </c:pt>
              <c:pt idx="10">
                <c:v>120</c:v>
              </c:pt>
            </c:numLit>
          </c:cat>
          <c:val>
            <c:numLit>
              <c:formatCode>General</c:formatCode>
              <c:ptCount val="11"/>
              <c:pt idx="0">
                <c:v>7.8432683273684384E-2</c:v>
              </c:pt>
              <c:pt idx="1">
                <c:v>0.30175039464736875</c:v>
              </c:pt>
              <c:pt idx="2">
                <c:v>0.82325529946549436</c:v>
              </c:pt>
              <c:pt idx="3">
                <c:v>1.8468804390472982</c:v>
              </c:pt>
              <c:pt idx="4">
                <c:v>3.5578177199903154</c:v>
              </c:pt>
              <c:pt idx="5">
                <c:v>6.0049088689515964</c:v>
              </c:pt>
              <c:pt idx="6">
                <c:v>9.1554198342094093</c:v>
              </c:pt>
              <c:pt idx="7">
                <c:v>12.911887381099227</c:v>
              </c:pt>
              <c:pt idx="8">
                <c:v>17.146943602905647</c:v>
              </c:pt>
              <c:pt idx="9">
                <c:v>21.793095559615473</c:v>
              </c:pt>
              <c:pt idx="10">
                <c:v>26.753845566801445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88-4DD2-9E1A-29381969ED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1784576"/>
        <c:axId val="1511785536"/>
      </c:lineChart>
      <c:catAx>
        <c:axId val="1511784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SpotPrice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11785536"/>
        <c:crosses val="autoZero"/>
        <c:auto val="1"/>
        <c:lblAlgn val="ctr"/>
        <c:lblOffset val="100"/>
        <c:noMultiLvlLbl val="0"/>
      </c:catAx>
      <c:valAx>
        <c:axId val="151178553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Prix de l'Option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1178457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Impact de Strike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BS - Strike</c:v>
          </c:tx>
          <c:marker>
            <c:symbol val="none"/>
          </c:marker>
          <c:cat>
            <c:numLit>
              <c:formatCode>General</c:formatCode>
              <c:ptCount val="11"/>
              <c:pt idx="0">
                <c:v>60</c:v>
              </c:pt>
              <c:pt idx="1">
                <c:v>64</c:v>
              </c:pt>
              <c:pt idx="2">
                <c:v>68</c:v>
              </c:pt>
              <c:pt idx="3">
                <c:v>72</c:v>
              </c:pt>
              <c:pt idx="4">
                <c:v>76</c:v>
              </c:pt>
              <c:pt idx="5">
                <c:v>80</c:v>
              </c:pt>
              <c:pt idx="6">
                <c:v>84</c:v>
              </c:pt>
              <c:pt idx="7">
                <c:v>88</c:v>
              </c:pt>
              <c:pt idx="8">
                <c:v>92</c:v>
              </c:pt>
              <c:pt idx="9">
                <c:v>96</c:v>
              </c:pt>
              <c:pt idx="10">
                <c:v>100</c:v>
              </c:pt>
            </c:numLit>
          </c:cat>
          <c:val>
            <c:numLit>
              <c:formatCode>General</c:formatCode>
              <c:ptCount val="11"/>
              <c:pt idx="0">
                <c:v>42.095036640869658</c:v>
              </c:pt>
              <c:pt idx="1">
                <c:v>38.452569905416276</c:v>
              </c:pt>
              <c:pt idx="2">
                <c:v>34.92487001299407</c:v>
              </c:pt>
              <c:pt idx="3">
                <c:v>31.538525419742371</c:v>
              </c:pt>
              <c:pt idx="4">
                <c:v>28.317983352218953</c:v>
              </c:pt>
              <c:pt idx="5">
                <c:v>25.283968890529891</c:v>
              </c:pt>
              <c:pt idx="6">
                <c:v>22.452400464273829</c:v>
              </c:pt>
              <c:pt idx="7">
                <c:v>19.833843768158651</c:v>
              </c:pt>
              <c:pt idx="8">
                <c:v>17.433463374864147</c:v>
              </c:pt>
              <c:pt idx="9">
                <c:v>15.251380567521473</c:v>
              </c:pt>
              <c:pt idx="10">
                <c:v>13.283309883623424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CBA9-43E6-8C10-887C86DFBA81}"/>
            </c:ext>
          </c:extLst>
        </c:ser>
        <c:ser>
          <c:idx val="1"/>
          <c:order val="1"/>
          <c:tx>
            <c:v>Heston - Strike</c:v>
          </c:tx>
          <c:marker>
            <c:symbol val="none"/>
          </c:marker>
          <c:cat>
            <c:numLit>
              <c:formatCode>General</c:formatCode>
              <c:ptCount val="11"/>
              <c:pt idx="0">
                <c:v>80</c:v>
              </c:pt>
              <c:pt idx="1">
                <c:v>84</c:v>
              </c:pt>
              <c:pt idx="2">
                <c:v>88</c:v>
              </c:pt>
              <c:pt idx="3">
                <c:v>92</c:v>
              </c:pt>
              <c:pt idx="4">
                <c:v>96</c:v>
              </c:pt>
              <c:pt idx="5">
                <c:v>100</c:v>
              </c:pt>
              <c:pt idx="6">
                <c:v>104</c:v>
              </c:pt>
              <c:pt idx="7">
                <c:v>108</c:v>
              </c:pt>
              <c:pt idx="8">
                <c:v>112</c:v>
              </c:pt>
              <c:pt idx="9">
                <c:v>116</c:v>
              </c:pt>
              <c:pt idx="10">
                <c:v>120</c:v>
              </c:pt>
            </c:numLit>
          </c:cat>
          <c:val>
            <c:numLit>
              <c:formatCode>General</c:formatCode>
              <c:ptCount val="11"/>
              <c:pt idx="0">
                <c:v>25.004653391762158</c:v>
              </c:pt>
              <c:pt idx="1">
                <c:v>21.949510113146182</c:v>
              </c:pt>
              <c:pt idx="2">
                <c:v>19.0819560581544</c:v>
              </c:pt>
              <c:pt idx="3">
                <c:v>16.423921553930452</c:v>
              </c:pt>
              <c:pt idx="4">
                <c:v>13.990832671592296</c:v>
              </c:pt>
              <c:pt idx="5">
                <c:v>11.783535227712296</c:v>
              </c:pt>
              <c:pt idx="6">
                <c:v>9.7986174809068487</c:v>
              </c:pt>
              <c:pt idx="7">
                <c:v>8.0500411676775041</c:v>
              </c:pt>
              <c:pt idx="8">
                <c:v>6.5317583757169997</c:v>
              </c:pt>
              <c:pt idx="9">
                <c:v>5.2348379366862154</c:v>
              </c:pt>
              <c:pt idx="10">
                <c:v>4.1476719998015597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CBA9-43E6-8C10-887C86DFBA81}"/>
            </c:ext>
          </c:extLst>
        </c:ser>
        <c:ser>
          <c:idx val="2"/>
          <c:order val="2"/>
          <c:tx>
            <c:v>Heston Upper - Strike</c:v>
          </c:tx>
          <c:spPr>
            <a:ln w="12700">
              <a:solidFill>
                <a:srgbClr val="D3D3D3"/>
              </a:solidFill>
              <a:prstDash val="lgDash"/>
            </a:ln>
          </c:spPr>
          <c:marker>
            <c:symbol val="none"/>
          </c:marker>
          <c:cat>
            <c:numLit>
              <c:formatCode>General</c:formatCode>
              <c:ptCount val="11"/>
              <c:pt idx="0">
                <c:v>80</c:v>
              </c:pt>
              <c:pt idx="1">
                <c:v>84</c:v>
              </c:pt>
              <c:pt idx="2">
                <c:v>88</c:v>
              </c:pt>
              <c:pt idx="3">
                <c:v>92</c:v>
              </c:pt>
              <c:pt idx="4">
                <c:v>96</c:v>
              </c:pt>
              <c:pt idx="5">
                <c:v>100</c:v>
              </c:pt>
              <c:pt idx="6">
                <c:v>104</c:v>
              </c:pt>
              <c:pt idx="7">
                <c:v>108</c:v>
              </c:pt>
              <c:pt idx="8">
                <c:v>112</c:v>
              </c:pt>
              <c:pt idx="9">
                <c:v>116</c:v>
              </c:pt>
              <c:pt idx="10">
                <c:v>120</c:v>
              </c:pt>
            </c:numLit>
          </c:cat>
          <c:val>
            <c:numLit>
              <c:formatCode>General</c:formatCode>
              <c:ptCount val="11"/>
              <c:pt idx="0">
                <c:v>25.150621558491725</c:v>
              </c:pt>
              <c:pt idx="1">
                <c:v>22.102274057244259</c:v>
              </c:pt>
              <c:pt idx="2">
                <c:v>19.242358533882726</c:v>
              </c:pt>
              <c:pt idx="3">
                <c:v>16.594826429150718</c:v>
              </c:pt>
              <c:pt idx="4">
                <c:v>14.168172474404148</c:v>
              </c:pt>
              <c:pt idx="5">
                <c:v>11.964923472032321</c:v>
              </c:pt>
              <c:pt idx="6">
                <c:v>9.9828922990803601</c:v>
              </c:pt>
              <c:pt idx="7">
                <c:v>8.2306006687373117</c:v>
              </c:pt>
              <c:pt idx="8">
                <c:v>6.7074981825942404</c:v>
              </c:pt>
              <c:pt idx="9">
                <c:v>5.3990461433597154</c:v>
              </c:pt>
              <c:pt idx="10">
                <c:v>4.2982160335017676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CBA9-43E6-8C10-887C86DFBA81}"/>
            </c:ext>
          </c:extLst>
        </c:ser>
        <c:ser>
          <c:idx val="3"/>
          <c:order val="3"/>
          <c:tx>
            <c:v>Heston Lower - Strike</c:v>
          </c:tx>
          <c:spPr>
            <a:ln w="12700">
              <a:solidFill>
                <a:srgbClr val="D3D3D3"/>
              </a:solidFill>
              <a:prstDash val="lgDash"/>
            </a:ln>
          </c:spPr>
          <c:marker>
            <c:symbol val="none"/>
          </c:marker>
          <c:cat>
            <c:numLit>
              <c:formatCode>General</c:formatCode>
              <c:ptCount val="11"/>
              <c:pt idx="0">
                <c:v>80</c:v>
              </c:pt>
              <c:pt idx="1">
                <c:v>84</c:v>
              </c:pt>
              <c:pt idx="2">
                <c:v>88</c:v>
              </c:pt>
              <c:pt idx="3">
                <c:v>92</c:v>
              </c:pt>
              <c:pt idx="4">
                <c:v>96</c:v>
              </c:pt>
              <c:pt idx="5">
                <c:v>100</c:v>
              </c:pt>
              <c:pt idx="6">
                <c:v>104</c:v>
              </c:pt>
              <c:pt idx="7">
                <c:v>108</c:v>
              </c:pt>
              <c:pt idx="8">
                <c:v>112</c:v>
              </c:pt>
              <c:pt idx="9">
                <c:v>116</c:v>
              </c:pt>
              <c:pt idx="10">
                <c:v>120</c:v>
              </c:pt>
            </c:numLit>
          </c:cat>
          <c:val>
            <c:numLit>
              <c:formatCode>General</c:formatCode>
              <c:ptCount val="11"/>
              <c:pt idx="0">
                <c:v>24.858685225032591</c:v>
              </c:pt>
              <c:pt idx="1">
                <c:v>21.796746169048106</c:v>
              </c:pt>
              <c:pt idx="2">
                <c:v>18.921553582426075</c:v>
              </c:pt>
              <c:pt idx="3">
                <c:v>16.253016678710186</c:v>
              </c:pt>
              <c:pt idx="4">
                <c:v>13.813492868780443</c:v>
              </c:pt>
              <c:pt idx="5">
                <c:v>11.60214698339227</c:v>
              </c:pt>
              <c:pt idx="6">
                <c:v>9.6143426627333373</c:v>
              </c:pt>
              <c:pt idx="7">
                <c:v>7.8694816666176974</c:v>
              </c:pt>
              <c:pt idx="8">
                <c:v>6.356018568839759</c:v>
              </c:pt>
              <c:pt idx="9">
                <c:v>5.0706297300127154</c:v>
              </c:pt>
              <c:pt idx="10">
                <c:v>3.9971279661013517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CBA9-43E6-8C10-887C86DFBA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33180048"/>
        <c:axId val="1838826304"/>
      </c:lineChart>
      <c:catAx>
        <c:axId val="18331800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Strike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838826304"/>
        <c:crosses val="autoZero"/>
        <c:auto val="1"/>
        <c:lblAlgn val="ctr"/>
        <c:lblOffset val="100"/>
        <c:noMultiLvlLbl val="0"/>
      </c:catAx>
      <c:valAx>
        <c:axId val="183882630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Prix de l'Option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83318004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Impact de Maturity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BS - Maturity</c:v>
          </c:tx>
          <c:marker>
            <c:symbol val="none"/>
          </c:marker>
          <c:cat>
            <c:numLit>
              <c:formatCode>General</c:formatCode>
              <c:ptCount val="11"/>
              <c:pt idx="0">
                <c:v>-0.25</c:v>
              </c:pt>
              <c:pt idx="1">
                <c:v>-0.10000000000000009</c:v>
              </c:pt>
              <c:pt idx="2">
                <c:v>5.0000000000000044E-2</c:v>
              </c:pt>
              <c:pt idx="3">
                <c:v>0.19999999999999996</c:v>
              </c:pt>
              <c:pt idx="4">
                <c:v>0.35000000000000003</c:v>
              </c:pt>
              <c:pt idx="5">
                <c:v>0.5</c:v>
              </c:pt>
              <c:pt idx="6">
                <c:v>0.64999999999999991</c:v>
              </c:pt>
              <c:pt idx="7">
                <c:v>0.79999999999999993</c:v>
              </c:pt>
              <c:pt idx="8">
                <c:v>0.95000000000000007</c:v>
              </c:pt>
              <c:pt idx="9">
                <c:v>1.1000000000000001</c:v>
              </c:pt>
              <c:pt idx="10">
                <c:v>1.25</c:v>
              </c:pt>
            </c:numLit>
          </c:cat>
          <c:val>
            <c:numLit>
              <c:formatCode>General</c:formatCode>
              <c:ptCount val="11"/>
              <c:pt idx="0">
                <c:v>-1.#QNAN</c:v>
              </c:pt>
              <c:pt idx="1">
                <c:v>-1.#QNAN</c:v>
              </c:pt>
              <c:pt idx="2">
                <c:v>2.7493006931875144</c:v>
              </c:pt>
              <c:pt idx="3">
                <c:v>5.6367985075155147</c:v>
              </c:pt>
              <c:pt idx="4">
                <c:v>7.5688459211743293</c:v>
              </c:pt>
              <c:pt idx="5">
                <c:v>9.1494040674432853</c:v>
              </c:pt>
              <c:pt idx="6">
                <c:v>10.529089003768611</c:v>
              </c:pt>
              <c:pt idx="7">
                <c:v>11.773787928024312</c:v>
              </c:pt>
              <c:pt idx="8">
                <c:v>12.919389880086669</c:v>
              </c:pt>
              <c:pt idx="9">
                <c:v>13.988027665748206</c:v>
              </c:pt>
              <c:pt idx="10">
                <c:v>14.994503579248359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E67A-4BA0-B8BD-BAC78C2A78B5}"/>
            </c:ext>
          </c:extLst>
        </c:ser>
        <c:ser>
          <c:idx val="1"/>
          <c:order val="1"/>
          <c:tx>
            <c:v>Heston - Maturity</c:v>
          </c:tx>
          <c:marker>
            <c:symbol val="none"/>
          </c:marker>
          <c:cat>
            <c:numLit>
              <c:formatCode>General</c:formatCode>
              <c:ptCount val="11"/>
              <c:pt idx="0">
                <c:v>0.5</c:v>
              </c:pt>
              <c:pt idx="1">
                <c:v>0.65</c:v>
              </c:pt>
              <c:pt idx="2">
                <c:v>0.8</c:v>
              </c:pt>
              <c:pt idx="3">
                <c:v>0.95</c:v>
              </c:pt>
              <c:pt idx="4">
                <c:v>1.1000000000000001</c:v>
              </c:pt>
              <c:pt idx="5">
                <c:v>1.25</c:v>
              </c:pt>
              <c:pt idx="6">
                <c:v>1.4</c:v>
              </c:pt>
              <c:pt idx="7">
                <c:v>1.5499999999999998</c:v>
              </c:pt>
              <c:pt idx="8">
                <c:v>1.7000000000000002</c:v>
              </c:pt>
              <c:pt idx="9">
                <c:v>1.85</c:v>
              </c:pt>
              <c:pt idx="10">
                <c:v>2</c:v>
              </c:pt>
            </c:numLit>
          </c:cat>
          <c:val>
            <c:numLit>
              <c:formatCode>General</c:formatCode>
              <c:ptCount val="11"/>
              <c:pt idx="0">
                <c:v>8.6889829507188772</c:v>
              </c:pt>
              <c:pt idx="1">
                <c:v>9.7619620199139856</c:v>
              </c:pt>
              <c:pt idx="2">
                <c:v>10.691247245690638</c:v>
              </c:pt>
              <c:pt idx="3">
                <c:v>11.523012384178259</c:v>
              </c:pt>
              <c:pt idx="4">
                <c:v>12.284276006339427</c:v>
              </c:pt>
              <c:pt idx="5">
                <c:v>12.993893327663127</c:v>
              </c:pt>
              <c:pt idx="6">
                <c:v>13.664314244532999</c:v>
              </c:pt>
              <c:pt idx="7">
                <c:v>14.304762901145747</c:v>
              </c:pt>
              <c:pt idx="8">
                <c:v>14.92088279294877</c:v>
              </c:pt>
              <c:pt idx="9">
                <c:v>15.516822082955281</c:v>
              </c:pt>
              <c:pt idx="10">
                <c:v>16.096007759327136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E67A-4BA0-B8BD-BAC78C2A78B5}"/>
            </c:ext>
          </c:extLst>
        </c:ser>
        <c:ser>
          <c:idx val="2"/>
          <c:order val="2"/>
          <c:tx>
            <c:v>Heston Upper - Maturity</c:v>
          </c:tx>
          <c:spPr>
            <a:ln w="12700">
              <a:solidFill>
                <a:srgbClr val="D3D3D3"/>
              </a:solidFill>
              <a:prstDash val="lgDash"/>
            </a:ln>
          </c:spPr>
          <c:marker>
            <c:symbol val="none"/>
          </c:marker>
          <c:cat>
            <c:numLit>
              <c:formatCode>General</c:formatCode>
              <c:ptCount val="11"/>
              <c:pt idx="0">
                <c:v>0.5</c:v>
              </c:pt>
              <c:pt idx="1">
                <c:v>0.65</c:v>
              </c:pt>
              <c:pt idx="2">
                <c:v>0.8</c:v>
              </c:pt>
              <c:pt idx="3">
                <c:v>0.95</c:v>
              </c:pt>
              <c:pt idx="4">
                <c:v>1.1000000000000001</c:v>
              </c:pt>
              <c:pt idx="5">
                <c:v>1.25</c:v>
              </c:pt>
              <c:pt idx="6">
                <c:v>1.4</c:v>
              </c:pt>
              <c:pt idx="7">
                <c:v>1.5499999999999998</c:v>
              </c:pt>
              <c:pt idx="8">
                <c:v>1.7000000000000002</c:v>
              </c:pt>
              <c:pt idx="9">
                <c:v>1.85</c:v>
              </c:pt>
              <c:pt idx="10">
                <c:v>2</c:v>
              </c:pt>
            </c:numLit>
          </c:cat>
          <c:val>
            <c:numLit>
              <c:formatCode>General</c:formatCode>
              <c:ptCount val="11"/>
              <c:pt idx="0">
                <c:v>8.826706893041111</c:v>
              </c:pt>
              <c:pt idx="1">
                <c:v>9.9144977494576452</c:v>
              </c:pt>
              <c:pt idx="2">
                <c:v>10.856263858040691</c:v>
              </c:pt>
              <c:pt idx="3">
                <c:v>11.700310488922298</c:v>
              </c:pt>
              <c:pt idx="4">
                <c:v>12.473475163438847</c:v>
              </c:pt>
              <c:pt idx="5">
                <c:v>13.19434563910122</c:v>
              </c:pt>
              <c:pt idx="6">
                <c:v>13.876203494430392</c:v>
              </c:pt>
              <c:pt idx="7">
                <c:v>14.527895910289976</c:v>
              </c:pt>
              <c:pt idx="8">
                <c:v>15.154720245579067</c:v>
              </c:pt>
              <c:pt idx="9">
                <c:v>15.760917988010457</c:v>
              </c:pt>
              <c:pt idx="10">
                <c:v>16.349960229896674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E67A-4BA0-B8BD-BAC78C2A78B5}"/>
            </c:ext>
          </c:extLst>
        </c:ser>
        <c:ser>
          <c:idx val="3"/>
          <c:order val="3"/>
          <c:tx>
            <c:v>Heston Lower - Maturity</c:v>
          </c:tx>
          <c:spPr>
            <a:ln w="12700">
              <a:solidFill>
                <a:srgbClr val="D3D3D3"/>
              </a:solidFill>
              <a:prstDash val="lgDash"/>
            </a:ln>
          </c:spPr>
          <c:marker>
            <c:symbol val="none"/>
          </c:marker>
          <c:cat>
            <c:numLit>
              <c:formatCode>General</c:formatCode>
              <c:ptCount val="11"/>
              <c:pt idx="0">
                <c:v>0.5</c:v>
              </c:pt>
              <c:pt idx="1">
                <c:v>0.65</c:v>
              </c:pt>
              <c:pt idx="2">
                <c:v>0.8</c:v>
              </c:pt>
              <c:pt idx="3">
                <c:v>0.95</c:v>
              </c:pt>
              <c:pt idx="4">
                <c:v>1.1000000000000001</c:v>
              </c:pt>
              <c:pt idx="5">
                <c:v>1.25</c:v>
              </c:pt>
              <c:pt idx="6">
                <c:v>1.4</c:v>
              </c:pt>
              <c:pt idx="7">
                <c:v>1.5499999999999998</c:v>
              </c:pt>
              <c:pt idx="8">
                <c:v>1.7000000000000002</c:v>
              </c:pt>
              <c:pt idx="9">
                <c:v>1.85</c:v>
              </c:pt>
              <c:pt idx="10">
                <c:v>2</c:v>
              </c:pt>
            </c:numLit>
          </c:cat>
          <c:val>
            <c:numLit>
              <c:formatCode>General</c:formatCode>
              <c:ptCount val="11"/>
              <c:pt idx="0">
                <c:v>8.5512590083966433</c:v>
              </c:pt>
              <c:pt idx="1">
                <c:v>9.609426290370326</c:v>
              </c:pt>
              <c:pt idx="2">
                <c:v>10.526230633340585</c:v>
              </c:pt>
              <c:pt idx="3">
                <c:v>11.345714279434219</c:v>
              </c:pt>
              <c:pt idx="4">
                <c:v>12.095076849240007</c:v>
              </c:pt>
              <c:pt idx="5">
                <c:v>12.793441016225033</c:v>
              </c:pt>
              <c:pt idx="6">
                <c:v>13.452424994635606</c:v>
              </c:pt>
              <c:pt idx="7">
                <c:v>14.081629892001517</c:v>
              </c:pt>
              <c:pt idx="8">
                <c:v>14.687045340318473</c:v>
              </c:pt>
              <c:pt idx="9">
                <c:v>15.272726177900106</c:v>
              </c:pt>
              <c:pt idx="10">
                <c:v>15.842055288757601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E67A-4BA0-B8BD-BAC78C2A78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38829184"/>
        <c:axId val="1837597856"/>
      </c:lineChart>
      <c:catAx>
        <c:axId val="1838829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Maturity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837597856"/>
        <c:crosses val="autoZero"/>
        <c:auto val="1"/>
        <c:lblAlgn val="ctr"/>
        <c:lblOffset val="100"/>
        <c:noMultiLvlLbl val="0"/>
      </c:catAx>
      <c:valAx>
        <c:axId val="183759785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Prix de l'Option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83882918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Impact de RiskFreeRate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BS - RiskFreeRate</c:v>
          </c:tx>
          <c:marker>
            <c:symbol val="none"/>
          </c:marker>
          <c:cat>
            <c:numLit>
              <c:formatCode>General</c:formatCode>
              <c:ptCount val="11"/>
              <c:pt idx="0">
                <c:v>-5.0000000000000044E-3</c:v>
              </c:pt>
              <c:pt idx="1">
                <c:v>1.9999999999999948E-3</c:v>
              </c:pt>
              <c:pt idx="2">
                <c:v>8.9999999999999976E-3</c:v>
              </c:pt>
              <c:pt idx="3">
                <c:v>1.5999999999999997E-2</c:v>
              </c:pt>
              <c:pt idx="4">
                <c:v>2.3E-2</c:v>
              </c:pt>
              <c:pt idx="5">
                <c:v>0.03</c:v>
              </c:pt>
              <c:pt idx="6">
                <c:v>3.6999999999999998E-2</c:v>
              </c:pt>
              <c:pt idx="7">
                <c:v>4.3999999999999997E-2</c:v>
              </c:pt>
              <c:pt idx="8">
                <c:v>5.1000000000000004E-2</c:v>
              </c:pt>
              <c:pt idx="9">
                <c:v>5.8000000000000003E-2</c:v>
              </c:pt>
              <c:pt idx="10">
                <c:v>6.5000000000000002E-2</c:v>
              </c:pt>
            </c:numLit>
          </c:cat>
          <c:val>
            <c:numLit>
              <c:formatCode>General</c:formatCode>
              <c:ptCount val="11"/>
              <c:pt idx="0">
                <c:v>11.704447607480233</c:v>
              </c:pt>
              <c:pt idx="1">
                <c:v>12.011793587497515</c:v>
              </c:pt>
              <c:pt idx="2">
                <c:v>12.323409370678114</c:v>
              </c:pt>
              <c:pt idx="3">
                <c:v>12.639239936067042</c:v>
              </c:pt>
              <c:pt idx="4">
                <c:v>12.959227160534724</c:v>
              </c:pt>
              <c:pt idx="5">
                <c:v>13.283309883623424</c:v>
              </c:pt>
              <c:pt idx="6">
                <c:v>13.611423974912505</c:v>
              </c:pt>
              <c:pt idx="7">
                <c:v>13.943502403773337</c:v>
              </c:pt>
              <c:pt idx="8">
                <c:v>14.279477468108922</c:v>
              </c:pt>
              <c:pt idx="9">
                <c:v>14.619280630234869</c:v>
              </c:pt>
              <c:pt idx="10">
                <c:v>14.962836866835467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C28B-4801-9DD8-DAFA52D1803E}"/>
            </c:ext>
          </c:extLst>
        </c:ser>
        <c:ser>
          <c:idx val="1"/>
          <c:order val="1"/>
          <c:tx>
            <c:v>Heston - RiskFreeRate</c:v>
          </c:tx>
          <c:marker>
            <c:symbol val="none"/>
          </c:marker>
          <c:cat>
            <c:numLit>
              <c:formatCode>General</c:formatCode>
              <c:ptCount val="11"/>
              <c:pt idx="0">
                <c:v>0.03</c:v>
              </c:pt>
              <c:pt idx="1">
                <c:v>3.6999999999999998E-2</c:v>
              </c:pt>
              <c:pt idx="2">
                <c:v>4.3999999999999997E-2</c:v>
              </c:pt>
              <c:pt idx="3">
                <c:v>5.1000000000000004E-2</c:v>
              </c:pt>
              <c:pt idx="4">
                <c:v>5.8000000000000003E-2</c:v>
              </c:pt>
              <c:pt idx="5">
                <c:v>6.5000000000000002E-2</c:v>
              </c:pt>
              <c:pt idx="6">
                <c:v>7.2000000000000008E-2</c:v>
              </c:pt>
              <c:pt idx="7">
                <c:v>7.9000000000000001E-2</c:v>
              </c:pt>
              <c:pt idx="8">
                <c:v>8.6000000000000007E-2</c:v>
              </c:pt>
              <c:pt idx="9">
                <c:v>9.3000000000000013E-2</c:v>
              </c:pt>
              <c:pt idx="10">
                <c:v>0.1</c:v>
              </c:pt>
            </c:numLit>
          </c:cat>
          <c:val>
            <c:numLit>
              <c:formatCode>General</c:formatCode>
              <c:ptCount val="11"/>
              <c:pt idx="0">
                <c:v>11.783535227712296</c:v>
              </c:pt>
              <c:pt idx="1">
                <c:v>12.15287432793907</c:v>
              </c:pt>
              <c:pt idx="2">
                <c:v>12.5258509477696</c:v>
              </c:pt>
              <c:pt idx="3">
                <c:v>12.902815660985064</c:v>
              </c:pt>
              <c:pt idx="4">
                <c:v>13.283749627700463</c:v>
              </c:pt>
              <c:pt idx="5">
                <c:v>13.668176442413051</c:v>
              </c:pt>
              <c:pt idx="6">
                <c:v>14.056404550119888</c:v>
              </c:pt>
              <c:pt idx="7">
                <c:v>14.448212077932919</c:v>
              </c:pt>
              <c:pt idx="8">
                <c:v>14.843799059878616</c:v>
              </c:pt>
              <c:pt idx="9">
                <c:v>15.242928251161459</c:v>
              </c:pt>
              <c:pt idx="10">
                <c:v>15.64535832411741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C28B-4801-9DD8-DAFA52D1803E}"/>
            </c:ext>
          </c:extLst>
        </c:ser>
        <c:ser>
          <c:idx val="2"/>
          <c:order val="2"/>
          <c:tx>
            <c:v>Heston Upper - RiskFreeRate</c:v>
          </c:tx>
          <c:spPr>
            <a:ln w="12700">
              <a:solidFill>
                <a:srgbClr val="D3D3D3"/>
              </a:solidFill>
              <a:prstDash val="lgDash"/>
            </a:ln>
          </c:spPr>
          <c:marker>
            <c:symbol val="none"/>
          </c:marker>
          <c:cat>
            <c:numLit>
              <c:formatCode>General</c:formatCode>
              <c:ptCount val="11"/>
              <c:pt idx="0">
                <c:v>0.03</c:v>
              </c:pt>
              <c:pt idx="1">
                <c:v>3.6999999999999998E-2</c:v>
              </c:pt>
              <c:pt idx="2">
                <c:v>4.3999999999999997E-2</c:v>
              </c:pt>
              <c:pt idx="3">
                <c:v>5.1000000000000004E-2</c:v>
              </c:pt>
              <c:pt idx="4">
                <c:v>5.8000000000000003E-2</c:v>
              </c:pt>
              <c:pt idx="5">
                <c:v>6.5000000000000002E-2</c:v>
              </c:pt>
              <c:pt idx="6">
                <c:v>7.2000000000000008E-2</c:v>
              </c:pt>
              <c:pt idx="7">
                <c:v>7.9000000000000001E-2</c:v>
              </c:pt>
              <c:pt idx="8">
                <c:v>8.6000000000000007E-2</c:v>
              </c:pt>
              <c:pt idx="9">
                <c:v>9.3000000000000013E-2</c:v>
              </c:pt>
              <c:pt idx="10">
                <c:v>0.1</c:v>
              </c:pt>
            </c:numLit>
          </c:cat>
          <c:val>
            <c:numLit>
              <c:formatCode>General</c:formatCode>
              <c:ptCount val="11"/>
              <c:pt idx="0">
                <c:v>11.964923472032321</c:v>
              </c:pt>
              <c:pt idx="1">
                <c:v>12.333403541797381</c:v>
              </c:pt>
              <c:pt idx="2">
                <c:v>12.705603853398143</c:v>
              </c:pt>
              <c:pt idx="3">
                <c:v>13.082047118704777</c:v>
              </c:pt>
              <c:pt idx="4">
                <c:v>13.462382531152006</c:v>
              </c:pt>
              <c:pt idx="5">
                <c:v>13.846326262586674</c:v>
              </c:pt>
              <c:pt idx="6">
                <c:v>14.233576583568567</c:v>
              </c:pt>
              <c:pt idx="7">
                <c:v>14.624377452768538</c:v>
              </c:pt>
              <c:pt idx="8">
                <c:v>15.019233161427012</c:v>
              </c:pt>
              <c:pt idx="9">
                <c:v>15.417538429662475</c:v>
              </c:pt>
              <c:pt idx="10">
                <c:v>15.818890076706145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C28B-4801-9DD8-DAFA52D1803E}"/>
            </c:ext>
          </c:extLst>
        </c:ser>
        <c:ser>
          <c:idx val="3"/>
          <c:order val="3"/>
          <c:tx>
            <c:v>Heston Lower - RiskFreeRate</c:v>
          </c:tx>
          <c:spPr>
            <a:ln w="12700">
              <a:solidFill>
                <a:srgbClr val="D3D3D3"/>
              </a:solidFill>
              <a:prstDash val="lgDash"/>
            </a:ln>
          </c:spPr>
          <c:marker>
            <c:symbol val="none"/>
          </c:marker>
          <c:cat>
            <c:numLit>
              <c:formatCode>General</c:formatCode>
              <c:ptCount val="11"/>
              <c:pt idx="0">
                <c:v>0.03</c:v>
              </c:pt>
              <c:pt idx="1">
                <c:v>3.6999999999999998E-2</c:v>
              </c:pt>
              <c:pt idx="2">
                <c:v>4.3999999999999997E-2</c:v>
              </c:pt>
              <c:pt idx="3">
                <c:v>5.1000000000000004E-2</c:v>
              </c:pt>
              <c:pt idx="4">
                <c:v>5.8000000000000003E-2</c:v>
              </c:pt>
              <c:pt idx="5">
                <c:v>6.5000000000000002E-2</c:v>
              </c:pt>
              <c:pt idx="6">
                <c:v>7.2000000000000008E-2</c:v>
              </c:pt>
              <c:pt idx="7">
                <c:v>7.9000000000000001E-2</c:v>
              </c:pt>
              <c:pt idx="8">
                <c:v>8.6000000000000007E-2</c:v>
              </c:pt>
              <c:pt idx="9">
                <c:v>9.3000000000000013E-2</c:v>
              </c:pt>
              <c:pt idx="10">
                <c:v>0.1</c:v>
              </c:pt>
            </c:numLit>
          </c:cat>
          <c:val>
            <c:numLit>
              <c:formatCode>General</c:formatCode>
              <c:ptCount val="11"/>
              <c:pt idx="0">
                <c:v>11.60214698339227</c:v>
              </c:pt>
              <c:pt idx="1">
                <c:v>11.97234511408076</c:v>
              </c:pt>
              <c:pt idx="2">
                <c:v>12.346098042141056</c:v>
              </c:pt>
              <c:pt idx="3">
                <c:v>12.723584203265352</c:v>
              </c:pt>
              <c:pt idx="4">
                <c:v>13.105116724248919</c:v>
              </c:pt>
              <c:pt idx="5">
                <c:v>13.490026622239428</c:v>
              </c:pt>
              <c:pt idx="6">
                <c:v>13.879232516671209</c:v>
              </c:pt>
              <c:pt idx="7">
                <c:v>14.272046703097299</c:v>
              </c:pt>
              <c:pt idx="8">
                <c:v>14.668364958330221</c:v>
              </c:pt>
              <c:pt idx="9">
                <c:v>15.068318072660443</c:v>
              </c:pt>
              <c:pt idx="10">
                <c:v>15.471826571528675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C28B-4801-9DD8-DAFA52D180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37599776"/>
        <c:axId val="1836640768"/>
      </c:lineChart>
      <c:catAx>
        <c:axId val="18375997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RiskFreeRate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836640768"/>
        <c:crosses val="autoZero"/>
        <c:auto val="1"/>
        <c:lblAlgn val="ctr"/>
        <c:lblOffset val="100"/>
        <c:noMultiLvlLbl val="0"/>
      </c:catAx>
      <c:valAx>
        <c:axId val="18366407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Prix de l'Option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83759977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Impact de Sigma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BS - Sigma</c:v>
          </c:tx>
          <c:marker>
            <c:symbol val="none"/>
          </c:marker>
          <c:cat>
            <c:numLit>
              <c:formatCode>General</c:formatCode>
              <c:ptCount val="11"/>
              <c:pt idx="0">
                <c:v>0.22500000000000001</c:v>
              </c:pt>
              <c:pt idx="1">
                <c:v>0.23</c:v>
              </c:pt>
              <c:pt idx="2">
                <c:v>0.23500000000000001</c:v>
              </c:pt>
              <c:pt idx="3">
                <c:v>0.24</c:v>
              </c:pt>
              <c:pt idx="4">
                <c:v>0.245</c:v>
              </c:pt>
              <c:pt idx="5">
                <c:v>0.25</c:v>
              </c:pt>
              <c:pt idx="6">
                <c:v>0.255</c:v>
              </c:pt>
              <c:pt idx="7">
                <c:v>0.26</c:v>
              </c:pt>
              <c:pt idx="8">
                <c:v>0.26500000000000001</c:v>
              </c:pt>
              <c:pt idx="9">
                <c:v>0.27</c:v>
              </c:pt>
              <c:pt idx="10">
                <c:v>0.27500000000000002</c:v>
              </c:pt>
            </c:numLit>
          </c:cat>
          <c:val>
            <c:numLit>
              <c:formatCode>General</c:formatCode>
              <c:ptCount val="11"/>
              <c:pt idx="0">
                <c:v>13.283309883623424</c:v>
              </c:pt>
              <c:pt idx="1">
                <c:v>13.283309883623424</c:v>
              </c:pt>
              <c:pt idx="2">
                <c:v>13.283309883623424</c:v>
              </c:pt>
              <c:pt idx="3">
                <c:v>13.283309883623424</c:v>
              </c:pt>
              <c:pt idx="4">
                <c:v>13.283309883623424</c:v>
              </c:pt>
              <c:pt idx="5">
                <c:v>13.283309883623424</c:v>
              </c:pt>
              <c:pt idx="6">
                <c:v>13.283309883623424</c:v>
              </c:pt>
              <c:pt idx="7">
                <c:v>13.283309883623424</c:v>
              </c:pt>
              <c:pt idx="8">
                <c:v>13.283309883623424</c:v>
              </c:pt>
              <c:pt idx="9">
                <c:v>13.283309883623424</c:v>
              </c:pt>
              <c:pt idx="10">
                <c:v>13.283309883623424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78D6-4CA7-A63B-13D8D8116B58}"/>
            </c:ext>
          </c:extLst>
        </c:ser>
        <c:ser>
          <c:idx val="1"/>
          <c:order val="1"/>
          <c:tx>
            <c:v>Heston - Sigma</c:v>
          </c:tx>
          <c:marker>
            <c:symbol val="none"/>
          </c:marker>
          <c:cat>
            <c:numLit>
              <c:formatCode>General</c:formatCode>
              <c:ptCount val="11"/>
              <c:pt idx="0">
                <c:v>0.25</c:v>
              </c:pt>
              <c:pt idx="1">
                <c:v>0.255</c:v>
              </c:pt>
              <c:pt idx="2">
                <c:v>0.26</c:v>
              </c:pt>
              <c:pt idx="3">
                <c:v>0.26500000000000001</c:v>
              </c:pt>
              <c:pt idx="4">
                <c:v>0.27</c:v>
              </c:pt>
              <c:pt idx="5">
                <c:v>0.27500000000000002</c:v>
              </c:pt>
              <c:pt idx="6">
                <c:v>0.27999999999999997</c:v>
              </c:pt>
              <c:pt idx="7">
                <c:v>0.28499999999999998</c:v>
              </c:pt>
              <c:pt idx="8">
                <c:v>0.28999999999999998</c:v>
              </c:pt>
              <c:pt idx="9">
                <c:v>0.29499999999999998</c:v>
              </c:pt>
              <c:pt idx="10">
                <c:v>0.3</c:v>
              </c:pt>
            </c:numLit>
          </c:cat>
          <c:val>
            <c:numLit>
              <c:formatCode>General</c:formatCode>
              <c:ptCount val="11"/>
              <c:pt idx="0">
                <c:v>11.85343612656758</c:v>
              </c:pt>
              <c:pt idx="1">
                <c:v>11.846982071968153</c:v>
              </c:pt>
              <c:pt idx="2">
                <c:v>11.840410235278489</c:v>
              </c:pt>
              <c:pt idx="3">
                <c:v>11.833747734784684</c:v>
              </c:pt>
              <c:pt idx="4">
                <c:v>11.826934691463473</c:v>
              </c:pt>
              <c:pt idx="5">
                <c:v>11.819991455830923</c:v>
              </c:pt>
              <c:pt idx="6">
                <c:v>11.812925633868101</c:v>
              </c:pt>
              <c:pt idx="7">
                <c:v>11.805753928348119</c:v>
              </c:pt>
              <c:pt idx="8">
                <c:v>11.79847520649022</c:v>
              </c:pt>
              <c:pt idx="9">
                <c:v>11.791074596117376</c:v>
              </c:pt>
              <c:pt idx="10">
                <c:v>11.783535227712296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78D6-4CA7-A63B-13D8D8116B58}"/>
            </c:ext>
          </c:extLst>
        </c:ser>
        <c:ser>
          <c:idx val="2"/>
          <c:order val="2"/>
          <c:tx>
            <c:v>Heston Upper - Sigma</c:v>
          </c:tx>
          <c:spPr>
            <a:ln w="12700">
              <a:solidFill>
                <a:srgbClr val="D3D3D3"/>
              </a:solidFill>
              <a:prstDash val="lgDash"/>
            </a:ln>
          </c:spPr>
          <c:marker>
            <c:symbol val="none"/>
          </c:marker>
          <c:cat>
            <c:numLit>
              <c:formatCode>General</c:formatCode>
              <c:ptCount val="11"/>
              <c:pt idx="0">
                <c:v>0.25</c:v>
              </c:pt>
              <c:pt idx="1">
                <c:v>0.255</c:v>
              </c:pt>
              <c:pt idx="2">
                <c:v>0.26</c:v>
              </c:pt>
              <c:pt idx="3">
                <c:v>0.26500000000000001</c:v>
              </c:pt>
              <c:pt idx="4">
                <c:v>0.27</c:v>
              </c:pt>
              <c:pt idx="5">
                <c:v>0.27500000000000002</c:v>
              </c:pt>
              <c:pt idx="6">
                <c:v>0.27999999999999997</c:v>
              </c:pt>
              <c:pt idx="7">
                <c:v>0.28499999999999998</c:v>
              </c:pt>
              <c:pt idx="8">
                <c:v>0.28999999999999998</c:v>
              </c:pt>
              <c:pt idx="9">
                <c:v>0.29499999999999998</c:v>
              </c:pt>
              <c:pt idx="10">
                <c:v>0.3</c:v>
              </c:pt>
            </c:numLit>
          </c:cat>
          <c:val>
            <c:numLit>
              <c:formatCode>General</c:formatCode>
              <c:ptCount val="11"/>
              <c:pt idx="0">
                <c:v>12.043292278606904</c:v>
              </c:pt>
              <c:pt idx="1">
                <c:v>12.035895810572818</c:v>
              </c:pt>
              <c:pt idx="2">
                <c:v>12.028421795717181</c:v>
              </c:pt>
              <c:pt idx="3">
                <c:v>12.020885364310461</c:v>
              </c:pt>
              <c:pt idx="4">
                <c:v>12.01319911481683</c:v>
              </c:pt>
              <c:pt idx="5">
                <c:v>12.005366410142585</c:v>
              </c:pt>
              <c:pt idx="6">
                <c:v>11.997405148583834</c:v>
              </c:pt>
              <c:pt idx="7">
                <c:v>11.98940997748849</c:v>
              </c:pt>
              <c:pt idx="8">
                <c:v>11.981347138489085</c:v>
              </c:pt>
              <c:pt idx="9">
                <c:v>11.973200467502682</c:v>
              </c:pt>
              <c:pt idx="10">
                <c:v>11.964923472032321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78D6-4CA7-A63B-13D8D8116B58}"/>
            </c:ext>
          </c:extLst>
        </c:ser>
        <c:ser>
          <c:idx val="3"/>
          <c:order val="3"/>
          <c:tx>
            <c:v>Heston Lower - Sigma</c:v>
          </c:tx>
          <c:spPr>
            <a:ln w="12700">
              <a:solidFill>
                <a:srgbClr val="D3D3D3"/>
              </a:solidFill>
              <a:prstDash val="lgDash"/>
            </a:ln>
          </c:spPr>
          <c:marker>
            <c:symbol val="none"/>
          </c:marker>
          <c:cat>
            <c:numLit>
              <c:formatCode>General</c:formatCode>
              <c:ptCount val="11"/>
              <c:pt idx="0">
                <c:v>0.25</c:v>
              </c:pt>
              <c:pt idx="1">
                <c:v>0.255</c:v>
              </c:pt>
              <c:pt idx="2">
                <c:v>0.26</c:v>
              </c:pt>
              <c:pt idx="3">
                <c:v>0.26500000000000001</c:v>
              </c:pt>
              <c:pt idx="4">
                <c:v>0.27</c:v>
              </c:pt>
              <c:pt idx="5">
                <c:v>0.27500000000000002</c:v>
              </c:pt>
              <c:pt idx="6">
                <c:v>0.27999999999999997</c:v>
              </c:pt>
              <c:pt idx="7">
                <c:v>0.28499999999999998</c:v>
              </c:pt>
              <c:pt idx="8">
                <c:v>0.28999999999999998</c:v>
              </c:pt>
              <c:pt idx="9">
                <c:v>0.29499999999999998</c:v>
              </c:pt>
              <c:pt idx="10">
                <c:v>0.3</c:v>
              </c:pt>
            </c:numLit>
          </c:cat>
          <c:val>
            <c:numLit>
              <c:formatCode>General</c:formatCode>
              <c:ptCount val="11"/>
              <c:pt idx="0">
                <c:v>11.663579974528256</c:v>
              </c:pt>
              <c:pt idx="1">
                <c:v>11.658068333363488</c:v>
              </c:pt>
              <c:pt idx="2">
                <c:v>11.652398674839796</c:v>
              </c:pt>
              <c:pt idx="3">
                <c:v>11.646610105258906</c:v>
              </c:pt>
              <c:pt idx="4">
                <c:v>11.640670268110116</c:v>
              </c:pt>
              <c:pt idx="5">
                <c:v>11.634616501519261</c:v>
              </c:pt>
              <c:pt idx="6">
                <c:v>11.628446119152368</c:v>
              </c:pt>
              <c:pt idx="7">
                <c:v>11.622097879207749</c:v>
              </c:pt>
              <c:pt idx="8">
                <c:v>11.615603274491356</c:v>
              </c:pt>
              <c:pt idx="9">
                <c:v>11.60894872473207</c:v>
              </c:pt>
              <c:pt idx="10">
                <c:v>11.60214698339227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78D6-4CA7-A63B-13D8D8116B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36639808"/>
        <c:axId val="1836672640"/>
      </c:lineChart>
      <c:catAx>
        <c:axId val="18366398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Sigma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836672640"/>
        <c:crosses val="autoZero"/>
        <c:auto val="1"/>
        <c:lblAlgn val="ctr"/>
        <c:lblOffset val="100"/>
        <c:noMultiLvlLbl val="0"/>
      </c:catAx>
      <c:valAx>
        <c:axId val="18366726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Prix de l'Option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83663980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Impact de Kappa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BS - Kappa</c:v>
          </c:tx>
          <c:marker>
            <c:symbol val="none"/>
          </c:marker>
          <c:cat>
            <c:numLit>
              <c:formatCode>General</c:formatCode>
              <c:ptCount val="11"/>
              <c:pt idx="0">
                <c:v>-0.25</c:v>
              </c:pt>
              <c:pt idx="1">
                <c:v>-0.10000000000000009</c:v>
              </c:pt>
              <c:pt idx="2">
                <c:v>5.0000000000000044E-2</c:v>
              </c:pt>
              <c:pt idx="3">
                <c:v>0.19999999999999996</c:v>
              </c:pt>
              <c:pt idx="4">
                <c:v>0.35000000000000003</c:v>
              </c:pt>
              <c:pt idx="5">
                <c:v>0.5</c:v>
              </c:pt>
              <c:pt idx="6">
                <c:v>0.64999999999999991</c:v>
              </c:pt>
              <c:pt idx="7">
                <c:v>0.79999999999999993</c:v>
              </c:pt>
              <c:pt idx="8">
                <c:v>0.95000000000000007</c:v>
              </c:pt>
              <c:pt idx="9">
                <c:v>1.1000000000000001</c:v>
              </c:pt>
              <c:pt idx="10">
                <c:v>1.25</c:v>
              </c:pt>
            </c:numLit>
          </c:cat>
          <c:val>
            <c:numLit>
              <c:formatCode>General</c:formatCode>
              <c:ptCount val="11"/>
              <c:pt idx="0">
                <c:v>13.283309883623424</c:v>
              </c:pt>
              <c:pt idx="1">
                <c:v>13.283309883623424</c:v>
              </c:pt>
              <c:pt idx="2">
                <c:v>13.283309883623424</c:v>
              </c:pt>
              <c:pt idx="3">
                <c:v>13.283309883623424</c:v>
              </c:pt>
              <c:pt idx="4">
                <c:v>13.283309883623424</c:v>
              </c:pt>
              <c:pt idx="5">
                <c:v>13.283309883623424</c:v>
              </c:pt>
              <c:pt idx="6">
                <c:v>13.283309883623424</c:v>
              </c:pt>
              <c:pt idx="7">
                <c:v>13.283309883623424</c:v>
              </c:pt>
              <c:pt idx="8">
                <c:v>13.283309883623424</c:v>
              </c:pt>
              <c:pt idx="9">
                <c:v>13.283309883623424</c:v>
              </c:pt>
              <c:pt idx="10">
                <c:v>13.283309883623424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BB98-484A-A1FA-D2A46481DCF5}"/>
            </c:ext>
          </c:extLst>
        </c:ser>
        <c:ser>
          <c:idx val="1"/>
          <c:order val="1"/>
          <c:tx>
            <c:v>Heston - Kappa</c:v>
          </c:tx>
          <c:marker>
            <c:symbol val="none"/>
          </c:marker>
          <c:cat>
            <c:numLit>
              <c:formatCode>General</c:formatCode>
              <c:ptCount val="11"/>
              <c:pt idx="0">
                <c:v>0.5</c:v>
              </c:pt>
              <c:pt idx="1">
                <c:v>0.65</c:v>
              </c:pt>
              <c:pt idx="2">
                <c:v>0.8</c:v>
              </c:pt>
              <c:pt idx="3">
                <c:v>0.95</c:v>
              </c:pt>
              <c:pt idx="4">
                <c:v>1.1000000000000001</c:v>
              </c:pt>
              <c:pt idx="5">
                <c:v>1.25</c:v>
              </c:pt>
              <c:pt idx="6">
                <c:v>1.4</c:v>
              </c:pt>
              <c:pt idx="7">
                <c:v>1.5499999999999998</c:v>
              </c:pt>
              <c:pt idx="8">
                <c:v>1.7000000000000002</c:v>
              </c:pt>
              <c:pt idx="9">
                <c:v>1.85</c:v>
              </c:pt>
              <c:pt idx="10">
                <c:v>2</c:v>
              </c:pt>
            </c:numLit>
          </c:cat>
          <c:val>
            <c:numLit>
              <c:formatCode>General</c:formatCode>
              <c:ptCount val="11"/>
              <c:pt idx="0">
                <c:v>12.816663991192092</c:v>
              </c:pt>
              <c:pt idx="1">
                <c:v>12.637882209673524</c:v>
              </c:pt>
              <c:pt idx="2">
                <c:v>12.471092405955771</c:v>
              </c:pt>
              <c:pt idx="3">
                <c:v>12.3167239358846</c:v>
              </c:pt>
              <c:pt idx="4">
                <c:v>12.173658762520356</c:v>
              </c:pt>
              <c:pt idx="5">
                <c:v>12.040913070625349</c:v>
              </c:pt>
              <c:pt idx="6">
                <c:v>11.917673229644791</c:v>
              </c:pt>
              <c:pt idx="7">
                <c:v>11.803136095167664</c:v>
              </c:pt>
              <c:pt idx="8">
                <c:v>11.696580089741769</c:v>
              </c:pt>
              <c:pt idx="9">
                <c:v>11.597630725386921</c:v>
              </c:pt>
              <c:pt idx="10">
                <c:v>11.505551079358781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BB98-484A-A1FA-D2A46481DCF5}"/>
            </c:ext>
          </c:extLst>
        </c:ser>
        <c:ser>
          <c:idx val="2"/>
          <c:order val="2"/>
          <c:tx>
            <c:v>Heston Upper - Kappa</c:v>
          </c:tx>
          <c:spPr>
            <a:ln w="12700">
              <a:solidFill>
                <a:srgbClr val="D3D3D3"/>
              </a:solidFill>
              <a:prstDash val="lgDash"/>
            </a:ln>
          </c:spPr>
          <c:marker>
            <c:symbol val="none"/>
          </c:marker>
          <c:cat>
            <c:numLit>
              <c:formatCode>General</c:formatCode>
              <c:ptCount val="11"/>
              <c:pt idx="0">
                <c:v>0.5</c:v>
              </c:pt>
              <c:pt idx="1">
                <c:v>0.65</c:v>
              </c:pt>
              <c:pt idx="2">
                <c:v>0.8</c:v>
              </c:pt>
              <c:pt idx="3">
                <c:v>0.95</c:v>
              </c:pt>
              <c:pt idx="4">
                <c:v>1.1000000000000001</c:v>
              </c:pt>
              <c:pt idx="5">
                <c:v>1.25</c:v>
              </c:pt>
              <c:pt idx="6">
                <c:v>1.4</c:v>
              </c:pt>
              <c:pt idx="7">
                <c:v>1.5499999999999998</c:v>
              </c:pt>
              <c:pt idx="8">
                <c:v>1.7000000000000002</c:v>
              </c:pt>
              <c:pt idx="9">
                <c:v>1.85</c:v>
              </c:pt>
              <c:pt idx="10">
                <c:v>2</c:v>
              </c:pt>
            </c:numLit>
          </c:cat>
          <c:val>
            <c:numLit>
              <c:formatCode>General</c:formatCode>
              <c:ptCount val="11"/>
              <c:pt idx="0">
                <c:v>13.0107361711145</c:v>
              </c:pt>
              <c:pt idx="1">
                <c:v>12.829063299592669</c:v>
              </c:pt>
              <c:pt idx="2">
                <c:v>12.659948529389078</c:v>
              </c:pt>
              <c:pt idx="3">
                <c:v>12.503730992344078</c:v>
              </c:pt>
              <c:pt idx="4">
                <c:v>12.359036933988573</c:v>
              </c:pt>
              <c:pt idx="5">
                <c:v>12.224890470762308</c:v>
              </c:pt>
              <c:pt idx="6">
                <c:v>12.100416255920418</c:v>
              </c:pt>
              <c:pt idx="7">
                <c:v>11.984735618431186</c:v>
              </c:pt>
              <c:pt idx="8">
                <c:v>11.877032836211633</c:v>
              </c:pt>
              <c:pt idx="9">
                <c:v>11.776952671941375</c:v>
              </c:pt>
              <c:pt idx="10">
                <c:v>11.683886041912439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BB98-484A-A1FA-D2A46481DCF5}"/>
            </c:ext>
          </c:extLst>
        </c:ser>
        <c:ser>
          <c:idx val="3"/>
          <c:order val="3"/>
          <c:tx>
            <c:v>Heston Lower - Kappa</c:v>
          </c:tx>
          <c:spPr>
            <a:ln w="12700">
              <a:solidFill>
                <a:srgbClr val="D3D3D3"/>
              </a:solidFill>
              <a:prstDash val="lgDash"/>
            </a:ln>
          </c:spPr>
          <c:marker>
            <c:symbol val="none"/>
          </c:marker>
          <c:cat>
            <c:numLit>
              <c:formatCode>General</c:formatCode>
              <c:ptCount val="11"/>
              <c:pt idx="0">
                <c:v>0.5</c:v>
              </c:pt>
              <c:pt idx="1">
                <c:v>0.65</c:v>
              </c:pt>
              <c:pt idx="2">
                <c:v>0.8</c:v>
              </c:pt>
              <c:pt idx="3">
                <c:v>0.95</c:v>
              </c:pt>
              <c:pt idx="4">
                <c:v>1.1000000000000001</c:v>
              </c:pt>
              <c:pt idx="5">
                <c:v>1.25</c:v>
              </c:pt>
              <c:pt idx="6">
                <c:v>1.4</c:v>
              </c:pt>
              <c:pt idx="7">
                <c:v>1.5499999999999998</c:v>
              </c:pt>
              <c:pt idx="8">
                <c:v>1.7000000000000002</c:v>
              </c:pt>
              <c:pt idx="9">
                <c:v>1.85</c:v>
              </c:pt>
              <c:pt idx="10">
                <c:v>2</c:v>
              </c:pt>
            </c:numLit>
          </c:cat>
          <c:val>
            <c:numLit>
              <c:formatCode>General</c:formatCode>
              <c:ptCount val="11"/>
              <c:pt idx="0">
                <c:v>12.622591811269684</c:v>
              </c:pt>
              <c:pt idx="1">
                <c:v>12.44670111975438</c:v>
              </c:pt>
              <c:pt idx="2">
                <c:v>12.282236282522463</c:v>
              </c:pt>
              <c:pt idx="3">
                <c:v>12.129716879425121</c:v>
              </c:pt>
              <c:pt idx="4">
                <c:v>11.988280591052138</c:v>
              </c:pt>
              <c:pt idx="5">
                <c:v>11.85693567048839</c:v>
              </c:pt>
              <c:pt idx="6">
                <c:v>11.734930203369164</c:v>
              </c:pt>
              <c:pt idx="7">
                <c:v>11.621536571904143</c:v>
              </c:pt>
              <c:pt idx="8">
                <c:v>11.516127343271904</c:v>
              </c:pt>
              <c:pt idx="9">
                <c:v>11.418308778832467</c:v>
              </c:pt>
              <c:pt idx="10">
                <c:v>11.327216116805124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BB98-484A-A1FA-D2A46481DC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50772048"/>
        <c:axId val="1850775888"/>
      </c:lineChart>
      <c:catAx>
        <c:axId val="18507720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Kappa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850775888"/>
        <c:crosses val="autoZero"/>
        <c:auto val="1"/>
        <c:lblAlgn val="ctr"/>
        <c:lblOffset val="100"/>
        <c:noMultiLvlLbl val="0"/>
      </c:catAx>
      <c:valAx>
        <c:axId val="185077588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Prix de l'Option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85077204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Impact de Theta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BS - Theta</c:v>
          </c:tx>
          <c:marker>
            <c:symbol val="none"/>
          </c:marker>
          <c:cat>
            <c:numLit>
              <c:formatCode>General</c:formatCode>
              <c:ptCount val="11"/>
              <c:pt idx="0">
                <c:v>3.4694469519536142E-18</c:v>
              </c:pt>
              <c:pt idx="1">
                <c:v>4.0000000000000036E-3</c:v>
              </c:pt>
              <c:pt idx="2">
                <c:v>8.0000000000000019E-3</c:v>
              </c:pt>
              <c:pt idx="3">
                <c:v>1.2000000000000002E-2</c:v>
              </c:pt>
              <c:pt idx="4">
                <c:v>1.6E-2</c:v>
              </c:pt>
              <c:pt idx="5">
                <c:v>0.02</c:v>
              </c:pt>
              <c:pt idx="6">
                <c:v>2.4E-2</c:v>
              </c:pt>
              <c:pt idx="7">
                <c:v>2.7999999999999997E-2</c:v>
              </c:pt>
              <c:pt idx="8">
                <c:v>3.2000000000000001E-2</c:v>
              </c:pt>
              <c:pt idx="9">
                <c:v>3.5999999999999997E-2</c:v>
              </c:pt>
              <c:pt idx="10">
                <c:v>3.9999999999999994E-2</c:v>
              </c:pt>
            </c:numLit>
          </c:cat>
          <c:val>
            <c:numLit>
              <c:formatCode>General</c:formatCode>
              <c:ptCount val="11"/>
              <c:pt idx="0">
                <c:v>13.283309883623424</c:v>
              </c:pt>
              <c:pt idx="1">
                <c:v>13.283309883623424</c:v>
              </c:pt>
              <c:pt idx="2">
                <c:v>13.283309883623424</c:v>
              </c:pt>
              <c:pt idx="3">
                <c:v>13.283309883623424</c:v>
              </c:pt>
              <c:pt idx="4">
                <c:v>13.283309883623424</c:v>
              </c:pt>
              <c:pt idx="5">
                <c:v>13.283309883623424</c:v>
              </c:pt>
              <c:pt idx="6">
                <c:v>13.283309883623424</c:v>
              </c:pt>
              <c:pt idx="7">
                <c:v>13.283309883623424</c:v>
              </c:pt>
              <c:pt idx="8">
                <c:v>13.283309883623424</c:v>
              </c:pt>
              <c:pt idx="9">
                <c:v>13.283309883623424</c:v>
              </c:pt>
              <c:pt idx="10">
                <c:v>13.283309883623424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71DB-4052-802B-E16BF33FBED1}"/>
            </c:ext>
          </c:extLst>
        </c:ser>
        <c:ser>
          <c:idx val="1"/>
          <c:order val="1"/>
          <c:tx>
            <c:v>Heston - Theta</c:v>
          </c:tx>
          <c:marker>
            <c:symbol val="none"/>
          </c:marker>
          <c:cat>
            <c:numLit>
              <c:formatCode>General</c:formatCode>
              <c:ptCount val="11"/>
              <c:pt idx="0">
                <c:v>0.02</c:v>
              </c:pt>
              <c:pt idx="1">
                <c:v>2.4E-2</c:v>
              </c:pt>
              <c:pt idx="2">
                <c:v>2.7999999999999997E-2</c:v>
              </c:pt>
              <c:pt idx="3">
                <c:v>3.2000000000000001E-2</c:v>
              </c:pt>
              <c:pt idx="4">
                <c:v>3.5999999999999997E-2</c:v>
              </c:pt>
              <c:pt idx="5">
                <c:v>3.9999999999999994E-2</c:v>
              </c:pt>
              <c:pt idx="6">
                <c:v>4.3999999999999997E-2</c:v>
              </c:pt>
              <c:pt idx="7">
                <c:v>4.7999999999999994E-2</c:v>
              </c:pt>
              <c:pt idx="8">
                <c:v>5.1999999999999991E-2</c:v>
              </c:pt>
              <c:pt idx="9">
                <c:v>5.5999999999999994E-2</c:v>
              </c:pt>
              <c:pt idx="10">
                <c:v>0.06</c:v>
              </c:pt>
            </c:numLit>
          </c:cat>
          <c:val>
            <c:numLit>
              <c:formatCode>General</c:formatCode>
              <c:ptCount val="11"/>
              <c:pt idx="0">
                <c:v>11.015913452650603</c:v>
              </c:pt>
              <c:pt idx="1">
                <c:v>11.176483894579151</c:v>
              </c:pt>
              <c:pt idx="2">
                <c:v>11.333998213556386</c:v>
              </c:pt>
              <c:pt idx="3">
                <c:v>11.488700557139662</c:v>
              </c:pt>
              <c:pt idx="4">
                <c:v>11.641127467289229</c:v>
              </c:pt>
              <c:pt idx="5">
                <c:v>11.79095870641437</c:v>
              </c:pt>
              <c:pt idx="6">
                <c:v>11.938331988429331</c:v>
              </c:pt>
              <c:pt idx="7">
                <c:v>12.083416271663179</c:v>
              </c:pt>
              <c:pt idx="8">
                <c:v>12.226417532717367</c:v>
              </c:pt>
              <c:pt idx="9">
                <c:v>12.367471454653701</c:v>
              </c:pt>
              <c:pt idx="10">
                <c:v>12.506523617971103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71DB-4052-802B-E16BF33FBED1}"/>
            </c:ext>
          </c:extLst>
        </c:ser>
        <c:ser>
          <c:idx val="2"/>
          <c:order val="2"/>
          <c:tx>
            <c:v>Heston Upper - Theta</c:v>
          </c:tx>
          <c:spPr>
            <a:ln w="12700">
              <a:solidFill>
                <a:srgbClr val="D3D3D3"/>
              </a:solidFill>
              <a:prstDash val="lgDash"/>
            </a:ln>
          </c:spPr>
          <c:marker>
            <c:symbol val="none"/>
          </c:marker>
          <c:cat>
            <c:numLit>
              <c:formatCode>General</c:formatCode>
              <c:ptCount val="11"/>
              <c:pt idx="0">
                <c:v>0.02</c:v>
              </c:pt>
              <c:pt idx="1">
                <c:v>2.4E-2</c:v>
              </c:pt>
              <c:pt idx="2">
                <c:v>2.7999999999999997E-2</c:v>
              </c:pt>
              <c:pt idx="3">
                <c:v>3.2000000000000001E-2</c:v>
              </c:pt>
              <c:pt idx="4">
                <c:v>3.5999999999999997E-2</c:v>
              </c:pt>
              <c:pt idx="5">
                <c:v>3.9999999999999994E-2</c:v>
              </c:pt>
              <c:pt idx="6">
                <c:v>4.3999999999999997E-2</c:v>
              </c:pt>
              <c:pt idx="7">
                <c:v>4.7999999999999994E-2</c:v>
              </c:pt>
              <c:pt idx="8">
                <c:v>5.1999999999999991E-2</c:v>
              </c:pt>
              <c:pt idx="9">
                <c:v>5.5999999999999994E-2</c:v>
              </c:pt>
              <c:pt idx="10">
                <c:v>0.06</c:v>
              </c:pt>
            </c:numLit>
          </c:cat>
          <c:val>
            <c:numLit>
              <c:formatCode>General</c:formatCode>
              <c:ptCount val="11"/>
              <c:pt idx="0">
                <c:v>11.168067944597901</c:v>
              </c:pt>
              <c:pt idx="1">
                <c:v>11.334823747662647</c:v>
              </c:pt>
              <c:pt idx="2">
                <c:v>11.49840538226618</c:v>
              </c:pt>
              <c:pt idx="3">
                <c:v>11.658986571807457</c:v>
              </c:pt>
              <c:pt idx="4">
                <c:v>11.817214802518963</c:v>
              </c:pt>
              <c:pt idx="5">
                <c:v>11.972618269247178</c:v>
              </c:pt>
              <c:pt idx="6">
                <c:v>12.1254451222622</c:v>
              </c:pt>
              <c:pt idx="7">
                <c:v>12.276108727861841</c:v>
              </c:pt>
              <c:pt idx="8">
                <c:v>12.424815148746847</c:v>
              </c:pt>
              <c:pt idx="9">
                <c:v>12.571289818156352</c:v>
              </c:pt>
              <c:pt idx="10">
                <c:v>12.715642392960147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71DB-4052-802B-E16BF33FBED1}"/>
            </c:ext>
          </c:extLst>
        </c:ser>
        <c:ser>
          <c:idx val="3"/>
          <c:order val="3"/>
          <c:tx>
            <c:v>Heston Lower - Theta</c:v>
          </c:tx>
          <c:spPr>
            <a:ln w="12700">
              <a:solidFill>
                <a:srgbClr val="D3D3D3"/>
              </a:solidFill>
              <a:prstDash val="lgDash"/>
            </a:ln>
          </c:spPr>
          <c:marker>
            <c:symbol val="none"/>
          </c:marker>
          <c:cat>
            <c:numLit>
              <c:formatCode>General</c:formatCode>
              <c:ptCount val="11"/>
              <c:pt idx="0">
                <c:v>0.02</c:v>
              </c:pt>
              <c:pt idx="1">
                <c:v>2.4E-2</c:v>
              </c:pt>
              <c:pt idx="2">
                <c:v>2.7999999999999997E-2</c:v>
              </c:pt>
              <c:pt idx="3">
                <c:v>3.2000000000000001E-2</c:v>
              </c:pt>
              <c:pt idx="4">
                <c:v>3.5999999999999997E-2</c:v>
              </c:pt>
              <c:pt idx="5">
                <c:v>3.9999999999999994E-2</c:v>
              </c:pt>
              <c:pt idx="6">
                <c:v>4.3999999999999997E-2</c:v>
              </c:pt>
              <c:pt idx="7">
                <c:v>4.7999999999999994E-2</c:v>
              </c:pt>
              <c:pt idx="8">
                <c:v>5.1999999999999991E-2</c:v>
              </c:pt>
              <c:pt idx="9">
                <c:v>5.5999999999999994E-2</c:v>
              </c:pt>
              <c:pt idx="10">
                <c:v>0.06</c:v>
              </c:pt>
            </c:numLit>
          </c:cat>
          <c:val>
            <c:numLit>
              <c:formatCode>General</c:formatCode>
              <c:ptCount val="11"/>
              <c:pt idx="0">
                <c:v>10.863758960703304</c:v>
              </c:pt>
              <c:pt idx="1">
                <c:v>11.018144041495656</c:v>
              </c:pt>
              <c:pt idx="2">
                <c:v>11.169591044846593</c:v>
              </c:pt>
              <c:pt idx="3">
                <c:v>11.318414542471867</c:v>
              </c:pt>
              <c:pt idx="4">
                <c:v>11.465040132059494</c:v>
              </c:pt>
              <c:pt idx="5">
                <c:v>11.609299143581563</c:v>
              </c:pt>
              <c:pt idx="6">
                <c:v>11.751218854596463</c:v>
              </c:pt>
              <c:pt idx="7">
                <c:v>11.890723815464517</c:v>
              </c:pt>
              <c:pt idx="8">
                <c:v>12.028019916687887</c:v>
              </c:pt>
              <c:pt idx="9">
                <c:v>12.163653091151051</c:v>
              </c:pt>
              <c:pt idx="10">
                <c:v>12.297404842982059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71DB-4052-802B-E16BF33FBE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50778288"/>
        <c:axId val="1850778768"/>
      </c:lineChart>
      <c:catAx>
        <c:axId val="1850778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Theta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850778768"/>
        <c:crosses val="autoZero"/>
        <c:auto val="1"/>
        <c:lblAlgn val="ctr"/>
        <c:lblOffset val="100"/>
        <c:noMultiLvlLbl val="0"/>
      </c:catAx>
      <c:valAx>
        <c:axId val="18507787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Prix de l'Option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850778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Impact de V0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BS - V0</c:v>
          </c:tx>
          <c:marker>
            <c:symbol val="none"/>
          </c:marker>
          <c:cat>
            <c:numLit>
              <c:formatCode>General</c:formatCode>
              <c:ptCount val="11"/>
              <c:pt idx="0">
                <c:v>0.1</c:v>
              </c:pt>
              <c:pt idx="1">
                <c:v>0.12</c:v>
              </c:pt>
              <c:pt idx="2">
                <c:v>0.14000000000000001</c:v>
              </c:pt>
              <c:pt idx="3">
                <c:v>0.16</c:v>
              </c:pt>
              <c:pt idx="4">
                <c:v>0.18000000000000002</c:v>
              </c:pt>
              <c:pt idx="5">
                <c:v>0.2</c:v>
              </c:pt>
              <c:pt idx="6">
                <c:v>0.22</c:v>
              </c:pt>
              <c:pt idx="7">
                <c:v>0.24</c:v>
              </c:pt>
              <c:pt idx="8">
                <c:v>0.26</c:v>
              </c:pt>
              <c:pt idx="9">
                <c:v>0.28000000000000003</c:v>
              </c:pt>
              <c:pt idx="10">
                <c:v>0.30000000000000004</c:v>
              </c:pt>
            </c:numLit>
          </c:cat>
          <c:val>
            <c:numLit>
              <c:formatCode>General</c:formatCode>
              <c:ptCount val="11"/>
              <c:pt idx="0">
                <c:v>13.91055831806819</c:v>
              </c:pt>
              <c:pt idx="1">
                <c:v>15.07576180937636</c:v>
              </c:pt>
              <c:pt idx="2">
                <c:v>16.145277895052125</c:v>
              </c:pt>
              <c:pt idx="3">
                <c:v>17.138733205872057</c:v>
              </c:pt>
              <c:pt idx="4">
                <c:v>18.0698059801338</c:v>
              </c:pt>
              <c:pt idx="5">
                <c:v>18.948482515077131</c:v>
              </c:pt>
              <c:pt idx="6">
                <c:v>19.782319263738721</c:v>
              </c:pt>
              <c:pt idx="7">
                <c:v>20.577198900166465</c:v>
              </c:pt>
              <c:pt idx="8">
                <c:v>21.337808264554916</c:v>
              </c:pt>
              <c:pt idx="9">
                <c:v>22.067953882757976</c:v>
              </c:pt>
              <c:pt idx="10">
                <c:v>22.770777839364079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EE8D-4065-B43B-D1105A6EF65A}"/>
            </c:ext>
          </c:extLst>
        </c:ser>
        <c:ser>
          <c:idx val="1"/>
          <c:order val="1"/>
          <c:tx>
            <c:v>Heston - V0</c:v>
          </c:tx>
          <c:marker>
            <c:symbol val="none"/>
          </c:marker>
          <c:cat>
            <c:numLit>
              <c:formatCode>General</c:formatCode>
              <c:ptCount val="11"/>
              <c:pt idx="0">
                <c:v>0.2</c:v>
              </c:pt>
              <c:pt idx="1">
                <c:v>0.22000000000000003</c:v>
              </c:pt>
              <c:pt idx="2">
                <c:v>0.24000000000000002</c:v>
              </c:pt>
              <c:pt idx="3">
                <c:v>0.26</c:v>
              </c:pt>
              <c:pt idx="4">
                <c:v>0.28000000000000003</c:v>
              </c:pt>
              <c:pt idx="5">
                <c:v>0.30000000000000004</c:v>
              </c:pt>
              <c:pt idx="6">
                <c:v>0.32</c:v>
              </c:pt>
              <c:pt idx="7">
                <c:v>0.33999999999999997</c:v>
              </c:pt>
              <c:pt idx="8">
                <c:v>0.36000000000000004</c:v>
              </c:pt>
              <c:pt idx="9">
                <c:v>0.38</c:v>
              </c:pt>
              <c:pt idx="10">
                <c:v>0.4</c:v>
              </c:pt>
            </c:numLit>
          </c:cat>
          <c:val>
            <c:numLit>
              <c:formatCode>General</c:formatCode>
              <c:ptCount val="11"/>
              <c:pt idx="0">
                <c:v>14.971694825465212</c:v>
              </c:pt>
              <c:pt idx="1">
                <c:v>15.521873708111631</c:v>
              </c:pt>
              <c:pt idx="2">
                <c:v>16.05107705213512</c:v>
              </c:pt>
              <c:pt idx="3">
                <c:v>16.561504551018849</c:v>
              </c:pt>
              <c:pt idx="4">
                <c:v>17.054870079576752</c:v>
              </c:pt>
              <c:pt idx="5">
                <c:v>17.532736724582371</c:v>
              </c:pt>
              <c:pt idx="6">
                <c:v>17.996610238549245</c:v>
              </c:pt>
              <c:pt idx="7">
                <c:v>18.447720654054645</c:v>
              </c:pt>
              <c:pt idx="8">
                <c:v>18.886964040986918</c:v>
              </c:pt>
              <c:pt idx="9">
                <c:v>19.315111745958738</c:v>
              </c:pt>
              <c:pt idx="10">
                <c:v>19.732673765535672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EE8D-4065-B43B-D1105A6EF65A}"/>
            </c:ext>
          </c:extLst>
        </c:ser>
        <c:ser>
          <c:idx val="2"/>
          <c:order val="2"/>
          <c:tx>
            <c:v>Heston Upper - V0</c:v>
          </c:tx>
          <c:spPr>
            <a:ln w="12700">
              <a:solidFill>
                <a:srgbClr val="D3D3D3"/>
              </a:solidFill>
              <a:prstDash val="lgDash"/>
            </a:ln>
          </c:spPr>
          <c:marker>
            <c:symbol val="none"/>
          </c:marker>
          <c:cat>
            <c:numLit>
              <c:formatCode>General</c:formatCode>
              <c:ptCount val="11"/>
              <c:pt idx="0">
                <c:v>0.2</c:v>
              </c:pt>
              <c:pt idx="1">
                <c:v>0.22000000000000003</c:v>
              </c:pt>
              <c:pt idx="2">
                <c:v>0.24000000000000002</c:v>
              </c:pt>
              <c:pt idx="3">
                <c:v>0.26</c:v>
              </c:pt>
              <c:pt idx="4">
                <c:v>0.28000000000000003</c:v>
              </c:pt>
              <c:pt idx="5">
                <c:v>0.30000000000000004</c:v>
              </c:pt>
              <c:pt idx="6">
                <c:v>0.32</c:v>
              </c:pt>
              <c:pt idx="7">
                <c:v>0.33999999999999997</c:v>
              </c:pt>
              <c:pt idx="8">
                <c:v>0.36000000000000004</c:v>
              </c:pt>
              <c:pt idx="9">
                <c:v>0.38</c:v>
              </c:pt>
              <c:pt idx="10">
                <c:v>0.4</c:v>
              </c:pt>
            </c:numLit>
          </c:cat>
          <c:val>
            <c:numLit>
              <c:formatCode>General</c:formatCode>
              <c:ptCount val="11"/>
              <c:pt idx="0">
                <c:v>15.237745693612153</c:v>
              </c:pt>
              <c:pt idx="1">
                <c:v>15.804582297900859</c:v>
              </c:pt>
              <c:pt idx="2">
                <c:v>16.350116241363306</c:v>
              </c:pt>
              <c:pt idx="3">
                <c:v>16.876855926541804</c:v>
              </c:pt>
              <c:pt idx="4">
                <c:v>17.386490191324331</c:v>
              </c:pt>
              <c:pt idx="5">
                <c:v>17.880895652352688</c:v>
              </c:pt>
              <c:pt idx="6">
                <c:v>18.361426434284834</c:v>
              </c:pt>
              <c:pt idx="7">
                <c:v>18.82909856695175</c:v>
              </c:pt>
              <c:pt idx="8">
                <c:v>19.28461330713322</c:v>
              </c:pt>
              <c:pt idx="9">
                <c:v>19.728789421182992</c:v>
              </c:pt>
              <c:pt idx="10">
                <c:v>20.162342152893526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EE8D-4065-B43B-D1105A6EF65A}"/>
            </c:ext>
          </c:extLst>
        </c:ser>
        <c:ser>
          <c:idx val="3"/>
          <c:order val="3"/>
          <c:tx>
            <c:v>Heston Lower - V0</c:v>
          </c:tx>
          <c:spPr>
            <a:ln w="12700">
              <a:solidFill>
                <a:srgbClr val="D3D3D3"/>
              </a:solidFill>
              <a:prstDash val="lgDash"/>
            </a:ln>
          </c:spPr>
          <c:marker>
            <c:symbol val="none"/>
          </c:marker>
          <c:cat>
            <c:numLit>
              <c:formatCode>General</c:formatCode>
              <c:ptCount val="11"/>
              <c:pt idx="0">
                <c:v>0.2</c:v>
              </c:pt>
              <c:pt idx="1">
                <c:v>0.22000000000000003</c:v>
              </c:pt>
              <c:pt idx="2">
                <c:v>0.24000000000000002</c:v>
              </c:pt>
              <c:pt idx="3">
                <c:v>0.26</c:v>
              </c:pt>
              <c:pt idx="4">
                <c:v>0.28000000000000003</c:v>
              </c:pt>
              <c:pt idx="5">
                <c:v>0.30000000000000004</c:v>
              </c:pt>
              <c:pt idx="6">
                <c:v>0.32</c:v>
              </c:pt>
              <c:pt idx="7">
                <c:v>0.33999999999999997</c:v>
              </c:pt>
              <c:pt idx="8">
                <c:v>0.36000000000000004</c:v>
              </c:pt>
              <c:pt idx="9">
                <c:v>0.38</c:v>
              </c:pt>
              <c:pt idx="10">
                <c:v>0.4</c:v>
              </c:pt>
            </c:numLit>
          </c:cat>
          <c:val>
            <c:numLit>
              <c:formatCode>General</c:formatCode>
              <c:ptCount val="11"/>
              <c:pt idx="0">
                <c:v>14.705643957318271</c:v>
              </c:pt>
              <c:pt idx="1">
                <c:v>15.239165118322402</c:v>
              </c:pt>
              <c:pt idx="2">
                <c:v>15.752037862906937</c:v>
              </c:pt>
              <c:pt idx="3">
                <c:v>16.246153175495895</c:v>
              </c:pt>
              <c:pt idx="4">
                <c:v>16.723249967829172</c:v>
              </c:pt>
              <c:pt idx="5">
                <c:v>17.184577796812054</c:v>
              </c:pt>
              <c:pt idx="6">
                <c:v>17.631794042813656</c:v>
              </c:pt>
              <c:pt idx="7">
                <c:v>18.066342741157541</c:v>
              </c:pt>
              <c:pt idx="8">
                <c:v>18.489314774840615</c:v>
              </c:pt>
              <c:pt idx="9">
                <c:v>18.901434070734485</c:v>
              </c:pt>
              <c:pt idx="10">
                <c:v>19.303005378177819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EE8D-4065-B43B-D1105A6EF6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50969088"/>
        <c:axId val="1835352624"/>
      </c:lineChart>
      <c:catAx>
        <c:axId val="18509690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V0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835352624"/>
        <c:crosses val="autoZero"/>
        <c:auto val="1"/>
        <c:lblAlgn val="ctr"/>
        <c:lblOffset val="100"/>
        <c:noMultiLvlLbl val="0"/>
      </c:catAx>
      <c:valAx>
        <c:axId val="183535262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Prix de l'Option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8509690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Impact de Rho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BS - Rho</c:v>
          </c:tx>
          <c:marker>
            <c:symbol val="none"/>
          </c:marker>
          <c:cat>
            <c:numLit>
              <c:formatCode>General</c:formatCode>
              <c:ptCount val="11"/>
              <c:pt idx="0">
                <c:v>-0.02</c:v>
              </c:pt>
              <c:pt idx="1">
                <c:v>-1.8000000000000002E-2</c:v>
              </c:pt>
              <c:pt idx="2">
                <c:v>-1.6E-2</c:v>
              </c:pt>
              <c:pt idx="3">
                <c:v>-1.4E-2</c:v>
              </c:pt>
              <c:pt idx="4">
                <c:v>-1.2E-2</c:v>
              </c:pt>
              <c:pt idx="5">
                <c:v>-0.01</c:v>
              </c:pt>
              <c:pt idx="6">
                <c:v>-8.0000000000000002E-3</c:v>
              </c:pt>
              <c:pt idx="7">
                <c:v>-6.000000000000001E-3</c:v>
              </c:pt>
              <c:pt idx="8">
                <c:v>-3.9999999999999992E-3</c:v>
              </c:pt>
              <c:pt idx="9">
                <c:v>-2E-3</c:v>
              </c:pt>
              <c:pt idx="10">
                <c:v>0</c:v>
              </c:pt>
            </c:numLit>
          </c:cat>
          <c:val>
            <c:numLit>
              <c:formatCode>General</c:formatCode>
              <c:ptCount val="11"/>
              <c:pt idx="0">
                <c:v>13.283309883623424</c:v>
              </c:pt>
              <c:pt idx="1">
                <c:v>13.283309883623424</c:v>
              </c:pt>
              <c:pt idx="2">
                <c:v>13.283309883623424</c:v>
              </c:pt>
              <c:pt idx="3">
                <c:v>13.283309883623424</c:v>
              </c:pt>
              <c:pt idx="4">
                <c:v>13.283309883623424</c:v>
              </c:pt>
              <c:pt idx="5">
                <c:v>13.283309883623424</c:v>
              </c:pt>
              <c:pt idx="6">
                <c:v>13.283309883623424</c:v>
              </c:pt>
              <c:pt idx="7">
                <c:v>13.283309883623424</c:v>
              </c:pt>
              <c:pt idx="8">
                <c:v>13.283309883623424</c:v>
              </c:pt>
              <c:pt idx="9">
                <c:v>13.283309883623424</c:v>
              </c:pt>
              <c:pt idx="10">
                <c:v>13.283309883623424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DB35-40B3-BCDB-47F52E4539DB}"/>
            </c:ext>
          </c:extLst>
        </c:ser>
        <c:ser>
          <c:idx val="1"/>
          <c:order val="1"/>
          <c:tx>
            <c:v>Heston - Rho</c:v>
          </c:tx>
          <c:marker>
            <c:symbol val="none"/>
          </c:marker>
          <c:cat>
            <c:numLit>
              <c:formatCode>General</c:formatCode>
              <c:ptCount val="11"/>
              <c:pt idx="0">
                <c:v>-0.01</c:v>
              </c:pt>
              <c:pt idx="1">
                <c:v>-8.0000000000000002E-3</c:v>
              </c:pt>
              <c:pt idx="2">
                <c:v>-6.0000000000000001E-3</c:v>
              </c:pt>
              <c:pt idx="3">
                <c:v>-4.0000000000000001E-3</c:v>
              </c:pt>
              <c:pt idx="4">
                <c:v>-2E-3</c:v>
              </c:pt>
              <c:pt idx="5">
                <c:v>0</c:v>
              </c:pt>
              <c:pt idx="6">
                <c:v>2E-3</c:v>
              </c:pt>
              <c:pt idx="7">
                <c:v>3.9999999999999983E-3</c:v>
              </c:pt>
              <c:pt idx="8">
                <c:v>6.0000000000000001E-3</c:v>
              </c:pt>
              <c:pt idx="9">
                <c:v>8.0000000000000019E-3</c:v>
              </c:pt>
              <c:pt idx="10">
                <c:v>0.01</c:v>
              </c:pt>
            </c:numLit>
          </c:cat>
          <c:val>
            <c:numLit>
              <c:formatCode>General</c:formatCode>
              <c:ptCount val="11"/>
              <c:pt idx="0">
                <c:v>11.837918477824465</c:v>
              </c:pt>
              <c:pt idx="1">
                <c:v>11.838010900734426</c:v>
              </c:pt>
              <c:pt idx="2">
                <c:v>11.838101906737895</c:v>
              </c:pt>
              <c:pt idx="3">
                <c:v>11.838191807384842</c:v>
              </c:pt>
              <c:pt idx="4">
                <c:v>11.838280722790918</c:v>
              </c:pt>
              <c:pt idx="5">
                <c:v>11.83836994618272</c:v>
              </c:pt>
              <c:pt idx="6">
                <c:v>11.838460298920328</c:v>
              </c:pt>
              <c:pt idx="7">
                <c:v>11.838550885609122</c:v>
              </c:pt>
              <c:pt idx="8">
                <c:v>11.838640542786345</c:v>
              </c:pt>
              <c:pt idx="9">
                <c:v>11.838729528281306</c:v>
              </c:pt>
              <c:pt idx="10">
                <c:v>11.838817265499802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DB35-40B3-BCDB-47F52E4539DB}"/>
            </c:ext>
          </c:extLst>
        </c:ser>
        <c:ser>
          <c:idx val="2"/>
          <c:order val="2"/>
          <c:tx>
            <c:v>Heston Upper - Rho</c:v>
          </c:tx>
          <c:spPr>
            <a:ln w="12700">
              <a:solidFill>
                <a:srgbClr val="D3D3D3"/>
              </a:solidFill>
              <a:prstDash val="lgDash"/>
            </a:ln>
          </c:spPr>
          <c:marker>
            <c:symbol val="none"/>
          </c:marker>
          <c:cat>
            <c:numLit>
              <c:formatCode>General</c:formatCode>
              <c:ptCount val="11"/>
              <c:pt idx="0">
                <c:v>-0.01</c:v>
              </c:pt>
              <c:pt idx="1">
                <c:v>-8.0000000000000002E-3</c:v>
              </c:pt>
              <c:pt idx="2">
                <c:v>-6.0000000000000001E-3</c:v>
              </c:pt>
              <c:pt idx="3">
                <c:v>-4.0000000000000001E-3</c:v>
              </c:pt>
              <c:pt idx="4">
                <c:v>-2E-3</c:v>
              </c:pt>
              <c:pt idx="5">
                <c:v>0</c:v>
              </c:pt>
              <c:pt idx="6">
                <c:v>2E-3</c:v>
              </c:pt>
              <c:pt idx="7">
                <c:v>3.9999999999999983E-3</c:v>
              </c:pt>
              <c:pt idx="8">
                <c:v>6.0000000000000001E-3</c:v>
              </c:pt>
              <c:pt idx="9">
                <c:v>8.0000000000000019E-3</c:v>
              </c:pt>
              <c:pt idx="10">
                <c:v>0.01</c:v>
              </c:pt>
            </c:numLit>
          </c:cat>
          <c:val>
            <c:numLit>
              <c:formatCode>General</c:formatCode>
              <c:ptCount val="11"/>
              <c:pt idx="0">
                <c:v>12.091936620892085</c:v>
              </c:pt>
              <c:pt idx="1">
                <c:v>12.092276222866975</c:v>
              </c:pt>
              <c:pt idx="2">
                <c:v>12.092614533577368</c:v>
              </c:pt>
              <c:pt idx="3">
                <c:v>12.092951488406287</c:v>
              </c:pt>
              <c:pt idx="4">
                <c:v>12.093288353508843</c:v>
              </c:pt>
              <c:pt idx="5">
                <c:v>12.093626449239112</c:v>
              </c:pt>
              <c:pt idx="6">
                <c:v>12.093964475063705</c:v>
              </c:pt>
              <c:pt idx="7">
                <c:v>12.094302652446343</c:v>
              </c:pt>
              <c:pt idx="8">
                <c:v>12.094639743139453</c:v>
              </c:pt>
              <c:pt idx="9">
                <c:v>12.094976435787256</c:v>
              </c:pt>
              <c:pt idx="10">
                <c:v>12.095311741485594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DB35-40B3-BCDB-47F52E4539DB}"/>
            </c:ext>
          </c:extLst>
        </c:ser>
        <c:ser>
          <c:idx val="3"/>
          <c:order val="3"/>
          <c:tx>
            <c:v>Heston Lower - Rho</c:v>
          </c:tx>
          <c:spPr>
            <a:ln w="12700">
              <a:solidFill>
                <a:srgbClr val="D3D3D3"/>
              </a:solidFill>
              <a:prstDash val="lgDash"/>
            </a:ln>
          </c:spPr>
          <c:marker>
            <c:symbol val="none"/>
          </c:marker>
          <c:cat>
            <c:numLit>
              <c:formatCode>General</c:formatCode>
              <c:ptCount val="11"/>
              <c:pt idx="0">
                <c:v>-0.01</c:v>
              </c:pt>
              <c:pt idx="1">
                <c:v>-8.0000000000000002E-3</c:v>
              </c:pt>
              <c:pt idx="2">
                <c:v>-6.0000000000000001E-3</c:v>
              </c:pt>
              <c:pt idx="3">
                <c:v>-4.0000000000000001E-3</c:v>
              </c:pt>
              <c:pt idx="4">
                <c:v>-2E-3</c:v>
              </c:pt>
              <c:pt idx="5">
                <c:v>0</c:v>
              </c:pt>
              <c:pt idx="6">
                <c:v>2E-3</c:v>
              </c:pt>
              <c:pt idx="7">
                <c:v>3.9999999999999983E-3</c:v>
              </c:pt>
              <c:pt idx="8">
                <c:v>6.0000000000000001E-3</c:v>
              </c:pt>
              <c:pt idx="9">
                <c:v>8.0000000000000019E-3</c:v>
              </c:pt>
              <c:pt idx="10">
                <c:v>0.01</c:v>
              </c:pt>
            </c:numLit>
          </c:cat>
          <c:val>
            <c:numLit>
              <c:formatCode>General</c:formatCode>
              <c:ptCount val="11"/>
              <c:pt idx="0">
                <c:v>11.583900334756844</c:v>
              </c:pt>
              <c:pt idx="1">
                <c:v>11.583745578601878</c:v>
              </c:pt>
              <c:pt idx="2">
                <c:v>11.583589279898423</c:v>
              </c:pt>
              <c:pt idx="3">
                <c:v>11.583432126363396</c:v>
              </c:pt>
              <c:pt idx="4">
                <c:v>11.583273092072993</c:v>
              </c:pt>
              <c:pt idx="5">
                <c:v>11.583113443126328</c:v>
              </c:pt>
              <c:pt idx="6">
                <c:v>11.582956122776951</c:v>
              </c:pt>
              <c:pt idx="7">
                <c:v>11.5827991187719</c:v>
              </c:pt>
              <c:pt idx="8">
                <c:v>11.582641342433238</c:v>
              </c:pt>
              <c:pt idx="9">
                <c:v>11.582482620775355</c:v>
              </c:pt>
              <c:pt idx="10">
                <c:v>11.582322789514011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DB35-40B3-BCDB-47F52E4539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51622288"/>
        <c:axId val="1851618928"/>
      </c:lineChart>
      <c:catAx>
        <c:axId val="1851622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Rho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851618928"/>
        <c:crosses val="autoZero"/>
        <c:auto val="1"/>
        <c:lblAlgn val="ctr"/>
        <c:lblOffset val="100"/>
        <c:noMultiLvlLbl val="0"/>
      </c:catAx>
      <c:valAx>
        <c:axId val="18516189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Prix de l'Option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851622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44450</xdr:colOff>
      <xdr:row>16</xdr:row>
      <xdr:rowOff>127000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0EF4047-6B9D-BD0D-502E-39BC31BB50CE}"/>
            </a:ext>
          </a:extLst>
        </xdr:cNvPr>
        <xdr:cNvSpPr txBox="1"/>
      </xdr:nvSpPr>
      <xdr:spPr>
        <a:xfrm>
          <a:off x="8299450" y="33782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130629</xdr:colOff>
          <xdr:row>5</xdr:row>
          <xdr:rowOff>70757</xdr:rowOff>
        </xdr:from>
        <xdr:to>
          <xdr:col>5</xdr:col>
          <xdr:colOff>898071</xdr:colOff>
          <xdr:row>8</xdr:row>
          <xdr:rowOff>43543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Pricer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778329</xdr:colOff>
          <xdr:row>1</xdr:row>
          <xdr:rowOff>38100</xdr:rowOff>
        </xdr:from>
        <xdr:to>
          <xdr:col>10</xdr:col>
          <xdr:colOff>70757</xdr:colOff>
          <xdr:row>4</xdr:row>
          <xdr:rowOff>130629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Graphs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437243</xdr:colOff>
      <xdr:row>3</xdr:row>
      <xdr:rowOff>30843</xdr:rowOff>
    </xdr:from>
    <xdr:to>
      <xdr:col>6</xdr:col>
      <xdr:colOff>83457</xdr:colOff>
      <xdr:row>15</xdr:row>
      <xdr:rowOff>154214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9652D773-98B7-F7D0-2E86-54056A5F8D4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337457</xdr:colOff>
      <xdr:row>3</xdr:row>
      <xdr:rowOff>30843</xdr:rowOff>
    </xdr:from>
    <xdr:to>
      <xdr:col>10</xdr:col>
      <xdr:colOff>816429</xdr:colOff>
      <xdr:row>15</xdr:row>
      <xdr:rowOff>154214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7EF4AD72-FA02-EEF8-17C7-DB958CADC8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237671</xdr:colOff>
      <xdr:row>3</xdr:row>
      <xdr:rowOff>30843</xdr:rowOff>
    </xdr:from>
    <xdr:to>
      <xdr:col>15</xdr:col>
      <xdr:colOff>716643</xdr:colOff>
      <xdr:row>15</xdr:row>
      <xdr:rowOff>154214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DB7AC14A-8529-BEFF-A38F-C9510D97732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137886</xdr:colOff>
      <xdr:row>3</xdr:row>
      <xdr:rowOff>30843</xdr:rowOff>
    </xdr:from>
    <xdr:to>
      <xdr:col>20</xdr:col>
      <xdr:colOff>616857</xdr:colOff>
      <xdr:row>15</xdr:row>
      <xdr:rowOff>154214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537264DA-0DF3-5ECF-7CA4-6E84B16214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437243</xdr:colOff>
      <xdr:row>17</xdr:row>
      <xdr:rowOff>5443</xdr:rowOff>
    </xdr:from>
    <xdr:to>
      <xdr:col>6</xdr:col>
      <xdr:colOff>83457</xdr:colOff>
      <xdr:row>29</xdr:row>
      <xdr:rowOff>128814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CCEFC5BB-8C53-2F0C-CCCE-6BC9D91AA3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337457</xdr:colOff>
      <xdr:row>17</xdr:row>
      <xdr:rowOff>5443</xdr:rowOff>
    </xdr:from>
    <xdr:to>
      <xdr:col>10</xdr:col>
      <xdr:colOff>816429</xdr:colOff>
      <xdr:row>29</xdr:row>
      <xdr:rowOff>128814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1EC1D2B5-9251-3640-8795-D403202519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237671</xdr:colOff>
      <xdr:row>17</xdr:row>
      <xdr:rowOff>5443</xdr:rowOff>
    </xdr:from>
    <xdr:to>
      <xdr:col>15</xdr:col>
      <xdr:colOff>716643</xdr:colOff>
      <xdr:row>29</xdr:row>
      <xdr:rowOff>128814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36405A7A-2A7B-0A4B-2E1D-490559DE54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16</xdr:col>
      <xdr:colOff>137886</xdr:colOff>
      <xdr:row>17</xdr:row>
      <xdr:rowOff>5443</xdr:rowOff>
    </xdr:from>
    <xdr:to>
      <xdr:col>20</xdr:col>
      <xdr:colOff>616857</xdr:colOff>
      <xdr:row>29</xdr:row>
      <xdr:rowOff>128814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FBFD0236-86BC-B3C5-11D6-F79809646C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437243</xdr:colOff>
      <xdr:row>30</xdr:row>
      <xdr:rowOff>181429</xdr:rowOff>
    </xdr:from>
    <xdr:to>
      <xdr:col>6</xdr:col>
      <xdr:colOff>83457</xdr:colOff>
      <xdr:row>43</xdr:row>
      <xdr:rowOff>103414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163AC52D-FD05-7F42-B575-A6F92CAB37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35D28B-5873-6148-BE29-E01D12C40066}">
  <sheetPr codeName="Sheet1"/>
  <dimension ref="B3:O8"/>
  <sheetViews>
    <sheetView topLeftCell="F1" zoomScale="114" workbookViewId="0">
      <selection activeCell="D4" sqref="D4"/>
    </sheetView>
  </sheetViews>
  <sheetFormatPr defaultColWidth="10.92578125" defaultRowHeight="15.9" x14ac:dyDescent="0.45"/>
  <cols>
    <col min="2" max="2" width="16.92578125" bestFit="1" customWidth="1"/>
    <col min="3" max="3" width="6.5" customWidth="1"/>
    <col min="4" max="7" width="13.92578125" customWidth="1"/>
    <col min="9" max="9" width="17" bestFit="1" customWidth="1"/>
    <col min="10" max="10" width="6.42578125" customWidth="1"/>
    <col min="11" max="15" width="14.92578125" customWidth="1"/>
  </cols>
  <sheetData>
    <row r="3" spans="2:15" x14ac:dyDescent="0.45">
      <c r="B3" s="1" t="s">
        <v>0</v>
      </c>
      <c r="C3" s="2"/>
      <c r="D3" s="2" t="s">
        <v>1</v>
      </c>
      <c r="E3" s="2" t="s">
        <v>2</v>
      </c>
      <c r="F3" s="2" t="s">
        <v>3</v>
      </c>
      <c r="G3" s="3" t="s">
        <v>4</v>
      </c>
      <c r="I3" s="7" t="s">
        <v>5</v>
      </c>
      <c r="J3" s="8"/>
      <c r="K3" s="8" t="s">
        <v>6</v>
      </c>
      <c r="L3" s="8" t="s">
        <v>7</v>
      </c>
      <c r="M3" s="8" t="s">
        <v>14</v>
      </c>
      <c r="N3" s="8" t="s">
        <v>8</v>
      </c>
      <c r="O3" s="9" t="s">
        <v>9</v>
      </c>
    </row>
    <row r="4" spans="2:15" x14ac:dyDescent="0.45">
      <c r="B4" s="4"/>
      <c r="C4" s="5"/>
      <c r="D4" s="10">
        <v>0.03</v>
      </c>
      <c r="E4" s="5">
        <v>100</v>
      </c>
      <c r="F4" s="5">
        <v>100</v>
      </c>
      <c r="G4" s="6">
        <v>1</v>
      </c>
      <c r="I4" s="4"/>
      <c r="J4" s="5"/>
      <c r="K4" s="12">
        <v>1.5768</v>
      </c>
      <c r="L4" s="11">
        <v>3.9800000000000002E-2</v>
      </c>
      <c r="M4" s="11">
        <v>0.31622699999999998</v>
      </c>
      <c r="N4" s="11">
        <v>0.3</v>
      </c>
      <c r="O4" s="13">
        <v>-0.57110000000000005</v>
      </c>
    </row>
    <row r="6" spans="2:15" x14ac:dyDescent="0.45">
      <c r="B6" cm="1">
        <f t="array" ref="B6">_xll.PriceHestonSingle("EuropeanCall", SpotPrice, Strike, Maturity, RiskFree, Kappa, Theta, V0, Sigma, Rho)</f>
        <v>11.677455601192888</v>
      </c>
    </row>
    <row r="8" spans="2:15" x14ac:dyDescent="0.45">
      <c r="B8">
        <v>11.701607590210324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HestonPricer">
                <anchor moveWithCells="1" sizeWithCells="1">
                  <from>
                    <xdr:col>4</xdr:col>
                    <xdr:colOff>130629</xdr:colOff>
                    <xdr:row>5</xdr:row>
                    <xdr:rowOff>70757</xdr:rowOff>
                  </from>
                  <to>
                    <xdr:col>5</xdr:col>
                    <xdr:colOff>898071</xdr:colOff>
                    <xdr:row>8</xdr:row>
                    <xdr:rowOff>43543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FD2603-4128-8344-A2CA-86F4980BF52F}">
  <sheetPr codeName="Sheet2"/>
  <dimension ref="A1:D12"/>
  <sheetViews>
    <sheetView tabSelected="1" zoomScale="70" zoomScaleNormal="70" workbookViewId="0">
      <selection activeCell="H2" sqref="H2"/>
    </sheetView>
  </sheetViews>
  <sheetFormatPr defaultColWidth="10.92578125" defaultRowHeight="15.9" x14ac:dyDescent="0.45"/>
  <sheetData>
    <row r="1" spans="1:4" x14ac:dyDescent="0.45">
      <c r="D1" t="s">
        <v>11</v>
      </c>
    </row>
    <row r="3" spans="1:4" x14ac:dyDescent="0.45">
      <c r="A3" t="s">
        <v>15</v>
      </c>
    </row>
    <row r="4" spans="1:4" x14ac:dyDescent="0.45">
      <c r="A4" t="s">
        <v>16</v>
      </c>
      <c r="B4">
        <v>60</v>
      </c>
      <c r="C4">
        <v>120</v>
      </c>
    </row>
    <row r="5" spans="1:4" x14ac:dyDescent="0.45">
      <c r="A5" t="s">
        <v>3</v>
      </c>
      <c r="B5">
        <v>80</v>
      </c>
      <c r="C5">
        <v>120</v>
      </c>
    </row>
    <row r="6" spans="1:4" x14ac:dyDescent="0.45">
      <c r="A6" t="s">
        <v>17</v>
      </c>
      <c r="B6">
        <v>0.5</v>
      </c>
      <c r="C6">
        <v>2</v>
      </c>
    </row>
    <row r="7" spans="1:4" x14ac:dyDescent="0.45">
      <c r="A7" t="s">
        <v>23</v>
      </c>
      <c r="B7" s="14">
        <v>0.03</v>
      </c>
      <c r="C7" s="14">
        <v>0.1</v>
      </c>
    </row>
    <row r="8" spans="1:4" x14ac:dyDescent="0.45">
      <c r="A8" t="s">
        <v>21</v>
      </c>
      <c r="B8" s="14">
        <v>0.25</v>
      </c>
      <c r="C8" s="14">
        <v>0.3</v>
      </c>
    </row>
    <row r="9" spans="1:4" x14ac:dyDescent="0.45">
      <c r="A9" t="s">
        <v>18</v>
      </c>
      <c r="B9" s="14">
        <v>0.5</v>
      </c>
      <c r="C9">
        <v>2</v>
      </c>
    </row>
    <row r="10" spans="1:4" x14ac:dyDescent="0.45">
      <c r="A10" t="s">
        <v>19</v>
      </c>
      <c r="B10" s="14">
        <v>0.02</v>
      </c>
      <c r="C10" s="14">
        <v>0.06</v>
      </c>
      <c r="D10" t="s">
        <v>10</v>
      </c>
    </row>
    <row r="11" spans="1:4" x14ac:dyDescent="0.45">
      <c r="A11" t="s">
        <v>20</v>
      </c>
      <c r="B11" s="14">
        <v>0.2</v>
      </c>
      <c r="C11" s="14">
        <v>0.4</v>
      </c>
    </row>
    <row r="12" spans="1:4" x14ac:dyDescent="0.45">
      <c r="A12" t="s">
        <v>22</v>
      </c>
      <c r="B12" s="14">
        <v>-0.01</v>
      </c>
      <c r="C12" s="14">
        <v>0.01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GraphPrice">
                <anchor moveWithCells="1" sizeWithCells="1">
                  <from>
                    <xdr:col>7</xdr:col>
                    <xdr:colOff>778329</xdr:colOff>
                    <xdr:row>1</xdr:row>
                    <xdr:rowOff>38100</xdr:rowOff>
                  </from>
                  <to>
                    <xdr:col>10</xdr:col>
                    <xdr:colOff>70757</xdr:colOff>
                    <xdr:row>4</xdr:row>
                    <xdr:rowOff>130629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163499-9867-AC4A-A4AC-90D7DA2C2C42}">
  <sheetPr codeName="Sheet3"/>
  <dimension ref="B3:B17"/>
  <sheetViews>
    <sheetView workbookViewId="0">
      <selection activeCell="B5" sqref="B5"/>
    </sheetView>
  </sheetViews>
  <sheetFormatPr defaultColWidth="10.92578125" defaultRowHeight="15.9" x14ac:dyDescent="0.45"/>
  <sheetData>
    <row r="3" spans="2:2" x14ac:dyDescent="0.45">
      <c r="B3" t="s">
        <v>12</v>
      </c>
    </row>
    <row r="17" spans="2:2" x14ac:dyDescent="0.45">
      <c r="B17" t="s">
        <v>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12</vt:i4>
      </vt:variant>
    </vt:vector>
  </HeadingPairs>
  <TitlesOfParts>
    <vt:vector size="15" baseType="lpstr">
      <vt:lpstr>Pricer</vt:lpstr>
      <vt:lpstr>Price Analysis</vt:lpstr>
      <vt:lpstr>Sensi Analysis </vt:lpstr>
      <vt:lpstr>Kappa</vt:lpstr>
      <vt:lpstr>Maturity</vt:lpstr>
      <vt:lpstr>ParametersRange</vt:lpstr>
      <vt:lpstr>Rho</vt:lpstr>
      <vt:lpstr>RiskFree</vt:lpstr>
      <vt:lpstr>RiskFreeRate</vt:lpstr>
      <vt:lpstr>rng_result</vt:lpstr>
      <vt:lpstr>Sigma</vt:lpstr>
      <vt:lpstr>SpotPrice</vt:lpstr>
      <vt:lpstr>Strike</vt:lpstr>
      <vt:lpstr>Theta</vt:lpstr>
      <vt:lpstr>V0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Bourcereau</dc:creator>
  <cp:lastModifiedBy>BOURCEREAU Paul</cp:lastModifiedBy>
  <dcterms:created xsi:type="dcterms:W3CDTF">2025-03-25T21:47:16Z</dcterms:created>
  <dcterms:modified xsi:type="dcterms:W3CDTF">2025-03-27T23:18:26Z</dcterms:modified>
</cp:coreProperties>
</file>