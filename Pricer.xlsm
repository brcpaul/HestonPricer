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#\Projet\HestonPricer\"/>
    </mc:Choice>
  </mc:AlternateContent>
  <xr:revisionPtr revIDLastSave="0" documentId="13_ncr:1_{D6B5F425-6CC1-40C7-A422-68A2F96EC22F}" xr6:coauthVersionLast="47" xr6:coauthVersionMax="47" xr10:uidLastSave="{00000000-0000-0000-0000-000000000000}"/>
  <bookViews>
    <workbookView xWindow="-108" yWindow="-108" windowWidth="23256" windowHeight="12456" activeTab="1" xr2:uid="{0687A19E-9EAC-4F4A-B5A4-80A1476C9C74}"/>
  </bookViews>
  <sheets>
    <sheet name="Pricer" sheetId="1" r:id="rId1"/>
    <sheet name="Price Analysis" sheetId="2" r:id="rId2"/>
    <sheet name="Sensi Analysis " sheetId="4" r:id="rId3"/>
    <sheet name="Data" sheetId="3" r:id="rId4"/>
  </sheets>
  <definedNames>
    <definedName name="Kappa">Pricer!$K$4</definedName>
    <definedName name="Maturity">Pricer!$G$4</definedName>
    <definedName name="Rho">Pricer!$O$4</definedName>
    <definedName name="RiskFree">Pricer!$D$4</definedName>
    <definedName name="rng_result">Pricer!$B$8</definedName>
    <definedName name="Sigma">Pricer!$N$4</definedName>
    <definedName name="SpotPrice">Pricer!$E$4</definedName>
    <definedName name="Strike">Pricer!$F$4</definedName>
    <definedName name="Theta">Pricer!$L$4</definedName>
    <definedName name="V0">Pricer!$M$4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 a="1"/>
  <c r="B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<sst xmlns="http://schemas.openxmlformats.org/spreadsheetml/2006/main" count="15" uniqueCount="15">
  <si>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Option parameters</t>
  </si>
  <si>
    <t>Risk free</t>
  </si>
  <si>
    <t>Spot price</t>
  </si>
  <si>
    <t>Strike</t>
  </si>
  <si>
    <t>Maturity (y)</t>
  </si>
  <si>
    <t>Heston Parameters</t>
  </si>
  <si>
    <t>𝜿 (Taux de retour à la moyenne)</t>
  </si>
  <si>
    <t>𝛉 (Variance long terme)</t>
  </si>
  <si>
    <t>𝞂 (Vol de la vol.)</t>
  </si>
  <si>
    <r>
      <t>⍴ (</t>
    </r>
    <r>
      <rPr>
        <sz val="12"/>
        <color theme="1"/>
        <rFont val="Calibri"/>
        <family val="2"/>
        <scheme val="minor"/>
      </rPr>
      <t>Corrélation)</t>
    </r>
  </si>
  <si>
    <t xml:space="preserve">Evolution du prix en fonction des paramètres du modèle d'Heston </t>
  </si>
  <si>
    <t xml:space="preserve">Evolution du prix en fonction des paramètres de BS </t>
  </si>
  <si>
    <t xml:space="preserve">Evolution des sensis en fonction des paramètres de BS </t>
  </si>
  <si>
    <t>Evolution des sensis en fonction des paramètres du modèle d'Heston</t>
  </si>
  <si>
    <r>
      <rPr>
        <b/>
        <sz val="12"/>
        <color theme="1"/>
        <rFont val="Calibri"/>
        <family val="2"/>
        <scheme val="minor"/>
      </rPr>
      <t>v0</t>
    </r>
    <r>
      <rPr>
        <sz val="12"/>
        <color theme="1"/>
        <rFont val="Calibri"/>
        <family val="2"/>
        <scheme val="minor"/>
      </rPr>
      <t xml:space="preserve"> (Volatilité intiale)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</si>
</sst>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3" borderId="1" xfId="0" applyFont="1" applyFill="1" applyBorder="1"/>
    <xf numFmtId="0" fontId="0" fillId="3" borderId="2" xfId="0" applyFill="1" applyBorder="1"/>
    <xf numFmtId="0" fontId="2" fillId="3" borderId="3" xfId="0" applyFont="1" applyFill="1" applyBorder="1"/>
    <xf numFmtId="9" fontId="0" fillId="0" borderId="5" xfId="0" applyNumberFormat="1" applyBorder="1"/>
    <xf numFmtId="10" fontId="0" fillId="0" borderId="5" xfId="1" applyNumberFormat="1" applyFont="1" applyBorder="1"/>
    <xf numFmtId="164" fontId="0" fillId="0" borderId="5" xfId="1" applyNumberFormat="1" applyFont="1" applyBorder="1"/>
    <xf numFmtId="10" fontId="0" fillId="0" borderId="6" xfId="1" applyNumberFormat="1" applyFont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BS - Impact de SpotPrice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SpotPrice</c:v>
          </c:tx>
          <c:marker>
            <c:symbol val="none"/>
          </c:marker>
          <c:cat>
            <c:numLit>
              <c:formatCode>General</c:formatCode>
              <c:ptCount val="10"/>
              <c:pt idx="0">
                <c:v>75</c:v>
              </c:pt>
              <c:pt idx="1">
                <c:v>80</c:v>
              </c:pt>
              <c:pt idx="2">
                <c:v>85</c:v>
              </c:pt>
              <c:pt idx="3">
                <c:v>90</c:v>
              </c:pt>
              <c:pt idx="4">
                <c:v>95</c:v>
              </c:pt>
              <c:pt idx="5">
                <c:v>100</c:v>
              </c:pt>
              <c:pt idx="6">
                <c:v>105</c:v>
              </c:pt>
              <c:pt idx="7">
                <c:v>110</c:v>
              </c:pt>
              <c:pt idx="8">
                <c:v>115</c:v>
              </c:pt>
              <c:pt idx="9">
                <c:v>120</c:v>
              </c:pt>
            </c:numLit>
          </c:cat>
          <c:val>
            <c:numLit>
              <c:formatCode>General</c:formatCode>
              <c:ptCount val="10"/>
              <c:pt idx="0">
                <c:v>2.7509196370616493</c:v>
              </c:pt>
              <c:pt idx="1">
                <c:v>4.1237585895463944</c:v>
              </c:pt>
              <c:pt idx="2">
                <c:v>5.8631006261983138</c:v>
              </c:pt>
              <c:pt idx="3">
                <c:v>7.9760496921564226</c:v>
              </c:pt>
              <c:pt idx="4">
                <c:v>10.455590118707619</c:v>
              </c:pt>
              <c:pt idx="5">
                <c:v>13.283309883623424</c:v>
              </c:pt>
              <c:pt idx="6">
                <c:v>16.432845587234993</c:v>
              </c:pt>
              <c:pt idx="7">
                <c:v>19.87302051371519</c:v>
              </c:pt>
              <c:pt idx="8">
                <c:v>23.570431978270292</c:v>
              </c:pt>
              <c:pt idx="9">
                <c:v>27.491704375445622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E30-402C-805E-9BC78EE5B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749039"/>
        <c:axId val="460751919"/>
      </c:lineChart>
      <c:catAx>
        <c:axId val="460749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SpotPrice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0751919"/>
        <c:crosses val="autoZero"/>
        <c:auto val="1"/>
        <c:lblAlgn val="ctr"/>
        <c:lblOffset val="100"/>
        <c:noMultiLvlLbl val="0"/>
      </c:catAx>
      <c:valAx>
        <c:axId val="46075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07490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Heston - Impact de SpotPrice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Heston - SpotPrice</c:v>
          </c:tx>
          <c:marker>
            <c:symbol val="none"/>
          </c:marker>
          <c:cat>
            <c:numLit>
              <c:formatCode>General</c:formatCode>
              <c:ptCount val="10"/>
              <c:pt idx="0">
                <c:v>75</c:v>
              </c:pt>
              <c:pt idx="1">
                <c:v>80</c:v>
              </c:pt>
              <c:pt idx="2">
                <c:v>85</c:v>
              </c:pt>
              <c:pt idx="3">
                <c:v>90</c:v>
              </c:pt>
              <c:pt idx="4">
                <c:v>95</c:v>
              </c:pt>
              <c:pt idx="5">
                <c:v>100</c:v>
              </c:pt>
              <c:pt idx="6">
                <c:v>105</c:v>
              </c:pt>
              <c:pt idx="7">
                <c:v>110</c:v>
              </c:pt>
              <c:pt idx="8">
                <c:v>115</c:v>
              </c:pt>
              <c:pt idx="9">
                <c:v>120</c:v>
              </c:pt>
            </c:numLit>
          </c:cat>
          <c:val>
            <c:numLit>
              <c:formatCode>General</c:formatCode>
              <c:ptCount val="10"/>
              <c:pt idx="0">
                <c:v>1.3057320275578765</c:v>
              </c:pt>
              <c:pt idx="1">
                <c:v>2.3983749033137323</c:v>
              </c:pt>
              <c:pt idx="2">
                <c:v>4.0618751648679128</c:v>
              </c:pt>
              <c:pt idx="3">
                <c:v>6.13306822981846</c:v>
              </c:pt>
              <c:pt idx="4">
                <c:v>8.7230055889873519</c:v>
              </c:pt>
              <c:pt idx="5">
                <c:v>11.722768569515519</c:v>
              </c:pt>
              <c:pt idx="6">
                <c:v>14.989244200271624</c:v>
              </c:pt>
              <c:pt idx="7">
                <c:v>18.77053919988019</c:v>
              </c:pt>
              <c:pt idx="8">
                <c:v>22.668848252513392</c:v>
              </c:pt>
              <c:pt idx="9">
                <c:v>26.795293623141319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18E-4258-9920-3C92FDC1B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728399"/>
        <c:axId val="460728879"/>
      </c:lineChart>
      <c:catAx>
        <c:axId val="4607283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SpotPrice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0728879"/>
        <c:crosses val="autoZero"/>
        <c:auto val="1"/>
        <c:lblAlgn val="ctr"/>
        <c:lblOffset val="100"/>
        <c:noMultiLvlLbl val="0"/>
      </c:catAx>
      <c:valAx>
        <c:axId val="4607288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07283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BS - Impact de Strike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 - Strike</c:v>
          </c:tx>
          <c:marker>
            <c:symbol val="none"/>
          </c:marker>
          <c:cat>
            <c:numLit>
              <c:formatCode>General</c:formatCode>
              <c:ptCount val="10"/>
              <c:pt idx="0">
                <c:v>75</c:v>
              </c:pt>
              <c:pt idx="1">
                <c:v>80</c:v>
              </c:pt>
              <c:pt idx="2">
                <c:v>85</c:v>
              </c:pt>
              <c:pt idx="3">
                <c:v>90</c:v>
              </c:pt>
              <c:pt idx="4">
                <c:v>95</c:v>
              </c:pt>
              <c:pt idx="5">
                <c:v>100</c:v>
              </c:pt>
              <c:pt idx="6">
                <c:v>105</c:v>
              </c:pt>
              <c:pt idx="7">
                <c:v>110</c:v>
              </c:pt>
              <c:pt idx="8">
                <c:v>115</c:v>
              </c:pt>
              <c:pt idx="9">
                <c:v>120</c:v>
              </c:pt>
            </c:numLit>
          </c:cat>
          <c:val>
            <c:numLit>
              <c:formatCode>General</c:formatCode>
              <c:ptCount val="10"/>
              <c:pt idx="0">
                <c:v>29.106365771066862</c:v>
              </c:pt>
              <c:pt idx="1">
                <c:v>25.283968890529891</c:v>
              </c:pt>
              <c:pt idx="2">
                <c:v>21.777498892930083</c:v>
              </c:pt>
              <c:pt idx="3">
                <c:v>18.606262233771453</c:v>
              </c:pt>
              <c:pt idx="4">
                <c:v>15.776601756502629</c:v>
              </c:pt>
              <c:pt idx="5">
                <c:v>13.283309883623424</c:v>
              </c:pt>
              <c:pt idx="6">
                <c:v>11.111657895151339</c:v>
              </c:pt>
              <c:pt idx="7">
                <c:v>9.2400136331415297</c:v>
              </c:pt>
              <c:pt idx="8">
                <c:v>7.6423418573176889</c:v>
              </c:pt>
              <c:pt idx="9">
                <c:v>6.2902130454871354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F5A-4D65-B156-C5935BE93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733679"/>
        <c:axId val="460734159"/>
      </c:lineChart>
      <c:catAx>
        <c:axId val="4607336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0734159"/>
        <c:crosses val="autoZero"/>
        <c:auto val="1"/>
        <c:lblAlgn val="ctr"/>
        <c:lblOffset val="100"/>
        <c:noMultiLvlLbl val="0"/>
      </c:catAx>
      <c:valAx>
        <c:axId val="4607341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07336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Heston - Impact de Strike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Heston - Strike</c:v>
          </c:tx>
          <c:marker>
            <c:symbol val="none"/>
          </c:marker>
          <c:cat>
            <c:numLit>
              <c:formatCode>General</c:formatCode>
              <c:ptCount val="10"/>
              <c:pt idx="0">
                <c:v>75</c:v>
              </c:pt>
              <c:pt idx="1">
                <c:v>80</c:v>
              </c:pt>
              <c:pt idx="2">
                <c:v>85</c:v>
              </c:pt>
              <c:pt idx="3">
                <c:v>90</c:v>
              </c:pt>
              <c:pt idx="4">
                <c:v>95</c:v>
              </c:pt>
              <c:pt idx="5">
                <c:v>100</c:v>
              </c:pt>
              <c:pt idx="6">
                <c:v>105</c:v>
              </c:pt>
              <c:pt idx="7">
                <c:v>110</c:v>
              </c:pt>
              <c:pt idx="8">
                <c:v>115</c:v>
              </c:pt>
              <c:pt idx="9">
                <c:v>120</c:v>
              </c:pt>
            </c:numLit>
          </c:cat>
          <c:val>
            <c:numLit>
              <c:formatCode>General</c:formatCode>
              <c:ptCount val="10"/>
              <c:pt idx="0">
                <c:v>28.987224068026453</c:v>
              </c:pt>
              <c:pt idx="1">
                <c:v>24.84653072112928</c:v>
              </c:pt>
              <c:pt idx="2">
                <c:v>21.128431974712303</c:v>
              </c:pt>
              <c:pt idx="3">
                <c:v>17.563778285184689</c:v>
              </c:pt>
              <c:pt idx="4">
                <c:v>14.421699891467133</c:v>
              </c:pt>
              <c:pt idx="5">
                <c:v>11.673848126593091</c:v>
              </c:pt>
              <c:pt idx="6">
                <c:v>9.265572245725366</c:v>
              </c:pt>
              <c:pt idx="7">
                <c:v>7.2442604358515652</c:v>
              </c:pt>
              <c:pt idx="8">
                <c:v>5.4346380830912366</c:v>
              </c:pt>
              <c:pt idx="9">
                <c:v>4.079970342455403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3CB-4565-8BF1-1B70B0AE0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749519"/>
        <c:axId val="460749999"/>
      </c:lineChart>
      <c:catAx>
        <c:axId val="4607495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0749999"/>
        <c:crosses val="autoZero"/>
        <c:auto val="1"/>
        <c:lblAlgn val="ctr"/>
        <c:lblOffset val="100"/>
        <c:noMultiLvlLbl val="0"/>
      </c:catAx>
      <c:valAx>
        <c:axId val="4607499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07495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16</xdr:row>
      <xdr:rowOff>127000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EF4047-6B9D-BD0D-502E-39BC31BB50CE}"/>
            </a:ext>
          </a:extLst>
        </xdr:cNvPr>
        <xdr:cNvSpPr txBox="1"/>
      </xdr:nvSpPr>
      <xdr:spPr>
        <a:xfrm>
          <a:off x="8299450" y="3378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129540</xdr:colOff>
          <xdr:row>5</xdr:row>
          <xdr:rowOff>68580</xdr:rowOff>
        </xdr:from>
        <xdr:to>
          <xdr:col>5</xdr:col>
          <xdr:colOff>899160</xdr:colOff>
          <xdr:row>8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777240</xdr:colOff>
          <xdr:row>1</xdr:row>
          <xdr:rowOff>38100</xdr:rowOff>
        </xdr:from>
        <xdr:to>
          <xdr:col>10</xdr:col>
          <xdr:colOff>68580</xdr:colOff>
          <xdr:row>4</xdr:row>
          <xdr:rowOff>129540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254000</xdr:colOff>
      <xdr:row>1</xdr:row>
      <xdr:rowOff>55880</xdr:rowOff>
    </xdr:from>
    <xdr:to>
      <xdr:col>4</xdr:col>
      <xdr:colOff>741680</xdr:colOff>
      <xdr:row>14</xdr:row>
      <xdr:rowOff>20320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A3BB578-EDDF-51C7-6996-75924F5A98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15</xdr:row>
      <xdr:rowOff>76200</xdr:rowOff>
    </xdr:from>
    <xdr:to>
      <xdr:col>4</xdr:col>
      <xdr:colOff>741680</xdr:colOff>
      <xdr:row>28</xdr:row>
      <xdr:rowOff>40640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7A5F5C82-1FE8-DFFF-AD90-089CE6DCC1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165100</xdr:colOff>
      <xdr:row>1</xdr:row>
      <xdr:rowOff>55880</xdr:rowOff>
    </xdr:from>
    <xdr:to>
      <xdr:col>9</xdr:col>
      <xdr:colOff>652780</xdr:colOff>
      <xdr:row>14</xdr:row>
      <xdr:rowOff>20320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1B3DAB1D-4507-A255-DC29-8134A6B131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165100</xdr:colOff>
      <xdr:row>15</xdr:row>
      <xdr:rowOff>76200</xdr:rowOff>
    </xdr:from>
    <xdr:to>
      <xdr:col>9</xdr:col>
      <xdr:colOff>652780</xdr:colOff>
      <xdr:row>28</xdr:row>
      <xdr:rowOff>40640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CDAAF4E9-976F-6079-D6F4-5007253E2D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5D28B-5873-6148-BE29-E01D12C40066}">
  <sheetPr codeName="Sheet1"/>
  <dimension ref="B3:O8"/>
  <sheetViews>
    <sheetView zoomScale="114" workbookViewId="0">
      <selection activeCell="F4" sqref="F4"/>
    </sheetView>
  </sheetViews>
  <sheetFormatPr baseColWidth="10" defaultColWidth="10.8984375" defaultRowHeight="15.6" x14ac:dyDescent="0.3"/>
  <cols>
    <col min="2" max="2" width="16.8984375" bestFit="1" customWidth="1"/>
    <col min="3" max="3" width="6.5" customWidth="1"/>
    <col min="4" max="7" width="13.8984375" customWidth="1"/>
    <col min="9" max="9" width="17" bestFit="1" customWidth="1"/>
    <col min="10" max="10" width="6.3984375" customWidth="1"/>
    <col min="11" max="15" width="14.8984375" customWidth="1"/>
  </cols>
  <sheetData>
    <row r="3" spans="2:15" x14ac:dyDescent="0.3">
      <c r="B3" s="1" t="s">
        <v>0</v>
      </c>
      <c r="C3" s="2"/>
      <c r="D3" s="2" t="s">
        <v>1</v>
      </c>
      <c r="E3" s="2" t="s">
        <v>2</v>
      </c>
      <c r="F3" s="2" t="s">
        <v>3</v>
      </c>
      <c r="G3" s="3" t="s">
        <v>4</v>
      </c>
      <c r="I3" s="7" t="s">
        <v>5</v>
      </c>
      <c r="J3" s="8"/>
      <c r="K3" s="8" t="s">
        <v>6</v>
      </c>
      <c r="L3" s="8" t="s">
        <v>7</v>
      </c>
      <c r="M3" s="8" t="s">
        <v>14</v>
      </c>
      <c r="N3" s="8" t="s">
        <v>8</v>
      </c>
      <c r="O3" s="9" t="s">
        <v>9</v>
      </c>
    </row>
    <row r="4" spans="2:15" x14ac:dyDescent="0.3">
      <c r="B4" s="4"/>
      <c r="C4" s="5"/>
      <c r="D4" s="10">
        <v>0.03</v>
      </c>
      <c r="E4" s="5">
        <v>100</v>
      </c>
      <c r="F4" s="5">
        <v>100</v>
      </c>
      <c r="G4" s="6">
        <v>1</v>
      </c>
      <c r="I4" s="4"/>
      <c r="J4" s="5"/>
      <c r="K4" s="12">
        <v>1.5768</v>
      </c>
      <c r="L4" s="11">
        <v>3.9800000000000002E-2</v>
      </c>
      <c r="M4" s="11">
        <v>0.31622699999999998</v>
      </c>
      <c r="N4" s="11">
        <v>0.3</v>
      </c>
      <c r="O4" s="13">
        <v>-0.57110000000000005</v>
      </c>
    </row>
    <row r="6" spans="2:15" x14ac:dyDescent="0.3">
      <c r="B6" cm="1">
        <f t="array" ref="B6">_xll.PriceHestonSingle("EuropeanCall", SpotPrice, Strike, Maturity, RiskFree, Kappa, Theta, V0, Sigma, Rho)</f>
        <v>11.721227012515852</v>
      </c>
    </row>
    <row r="8" spans="2:15" x14ac:dyDescent="0.3">
      <c r="B8">
        <v>11.701607590210324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stonPricer">
                <anchor moveWithCells="1" sizeWithCells="1">
                  <from>
                    <xdr:col>4</xdr:col>
                    <xdr:colOff>129540</xdr:colOff>
                    <xdr:row>5</xdr:row>
                    <xdr:rowOff>68580</xdr:rowOff>
                  </from>
                  <to>
                    <xdr:col>5</xdr:col>
                    <xdr:colOff>899160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D2603-4128-8344-A2CA-86F4980BF52F}">
  <sheetPr codeName="Sheet2"/>
  <dimension ref="B1:B10"/>
  <sheetViews>
    <sheetView tabSelected="1" workbookViewId="0">
      <selection activeCell="N20" sqref="N20"/>
    </sheetView>
  </sheetViews>
  <sheetFormatPr baseColWidth="10" defaultColWidth="10.8984375" defaultRowHeight="15.6" x14ac:dyDescent="0.3"/>
  <sheetData>
    <row r="1" spans="2:2" x14ac:dyDescent="0.3">
      <c r="B1" t="s">
        <v>11</v>
      </c>
    </row>
    <row r="10" spans="2:2" x14ac:dyDescent="0.3">
      <c r="B10" t="s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phPrice">
                <anchor moveWithCells="1" sizeWithCells="1">
                  <from>
                    <xdr:col>7</xdr:col>
                    <xdr:colOff>777240</xdr:colOff>
                    <xdr:row>1</xdr:row>
                    <xdr:rowOff>38100</xdr:rowOff>
                  </from>
                  <to>
                    <xdr:col>10</xdr:col>
                    <xdr:colOff>68580</xdr:colOff>
                    <xdr:row>4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63499-9867-AC4A-A4AC-90D7DA2C2C42}">
  <sheetPr codeName="Sheet3"/>
  <dimension ref="B3:B17"/>
  <sheetViews>
    <sheetView workbookViewId="0">
      <selection activeCell="B5" sqref="B5"/>
    </sheetView>
  </sheetViews>
  <sheetFormatPr baseColWidth="10" defaultColWidth="10.8984375" defaultRowHeight="15.6" x14ac:dyDescent="0.3"/>
  <sheetData>
    <row r="3" spans="2:2" x14ac:dyDescent="0.3">
      <c r="B3" t="s">
        <v>12</v>
      </c>
    </row>
    <row r="17" spans="2:2" x14ac:dyDescent="0.3">
      <c r="B17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6D6AE-4803-A44A-8305-13046D0C7696}">
  <sheetPr codeName="Sheet4"/>
  <dimension ref="A1"/>
  <sheetViews>
    <sheetView workbookViewId="0"/>
  </sheetViews>
  <sheetFormatPr baseColWidth="10" defaultColWidth="10.8984375" defaultRowHeight="15.6" x14ac:dyDescent="0.3"/>
  <cols>
    <col min="1" max="1" width="11.59765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10</vt:i4>
      </vt:variant>
    </vt:vector>
  </HeadingPairs>
  <TitlesOfParts>
    <vt:vector size="14" baseType="lpstr">
      <vt:lpstr>Pricer</vt:lpstr>
      <vt:lpstr>Price Analysis</vt:lpstr>
      <vt:lpstr>Sensi Analysis </vt:lpstr>
      <vt:lpstr>Data</vt:lpstr>
      <vt:lpstr>Kappa</vt:lpstr>
      <vt:lpstr>Maturity</vt:lpstr>
      <vt:lpstr>Rho</vt:lpstr>
      <vt:lpstr>RiskFree</vt:lpstr>
      <vt:lpstr>rng_result</vt:lpstr>
      <vt:lpstr>Sigma</vt:lpstr>
      <vt:lpstr>SpotPrice</vt:lpstr>
      <vt:lpstr>Strike</vt:lpstr>
      <vt:lpstr>Theta</vt:lpstr>
      <vt:lpstr>V0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Bourcereau</dc:creator>
  <cp:lastModifiedBy>ALAOUI MHAMDI Emma</cp:lastModifiedBy>
  <dcterms:created xsi:type="dcterms:W3CDTF">2025-03-25T21:47:16Z</dcterms:created>
  <dcterms:modified xsi:type="dcterms:W3CDTF">2025-03-27T21:15:15Z</dcterms:modified>
</cp:coreProperties>
</file>